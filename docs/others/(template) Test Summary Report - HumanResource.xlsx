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ummary" sheetId="1" r:id="rId5"/>
    <sheet state="visible" name="System Testing - Execution Data" sheetId="2" r:id="rId6"/>
    <sheet state="visible" name="End-to-End Testing - Execution " sheetId="3" r:id="rId7"/>
    <sheet state="visible" name="Defect Tracking Data" sheetId="4" r:id="rId8"/>
  </sheets>
  <definedNames/>
  <calcPr/>
</workbook>
</file>

<file path=xl/sharedStrings.xml><?xml version="1.0" encoding="utf-8"?>
<sst xmlns="http://schemas.openxmlformats.org/spreadsheetml/2006/main" count="1682" uniqueCount="478">
  <si>
    <t>Defect Tracking Data</t>
  </si>
  <si>
    <t>End-to-End Testing - Execution Data</t>
  </si>
  <si>
    <t>Feature</t>
  </si>
  <si>
    <t>Main Feature</t>
  </si>
  <si>
    <t>Defect ID</t>
  </si>
  <si>
    <t>System Testing - Execution Data</t>
  </si>
  <si>
    <t>Sub-Feature</t>
  </si>
  <si>
    <t>Date Detected</t>
  </si>
  <si>
    <t>Test ID</t>
  </si>
  <si>
    <t>Date Tested</t>
  </si>
  <si>
    <t>Description</t>
  </si>
  <si>
    <t>Scenario Name/Test Scenario</t>
  </si>
  <si>
    <t>Precondition</t>
  </si>
  <si>
    <t>Step-by-Step</t>
  </si>
  <si>
    <t>Defect Status</t>
  </si>
  <si>
    <t>Test Steps</t>
  </si>
  <si>
    <t>Defect Severity</t>
  </si>
  <si>
    <t>Expected Result</t>
  </si>
  <si>
    <t>Test Data</t>
  </si>
  <si>
    <t>Execution Status</t>
  </si>
  <si>
    <t>Owner / Found By</t>
  </si>
  <si>
    <t>Actual Result</t>
  </si>
  <si>
    <t>Priority</t>
  </si>
  <si>
    <t>Screenshot/Link Source</t>
  </si>
  <si>
    <t>Scenario Name/Test Case</t>
  </si>
  <si>
    <t>Remarks/Comments</t>
  </si>
  <si>
    <t>Defect Fixed At</t>
  </si>
  <si>
    <t>Defect Fixed By</t>
  </si>
  <si>
    <t>Tested By</t>
  </si>
  <si>
    <t>DEF001</t>
  </si>
  <si>
    <t>21/072026</t>
  </si>
  <si>
    <t>Authentication</t>
  </si>
  <si>
    <t>Pesan validasi kurang jelas ketika username dan password kosong</t>
  </si>
  <si>
    <t>Halaman login terbuka</t>
  </si>
  <si>
    <t>Login</t>
  </si>
  <si>
    <t>1. Buka halaman Login                                 2. Kosongkan username dan password                                                         3. Klik login</t>
  </si>
  <si>
    <t>E2E-001</t>
  </si>
  <si>
    <t>Login berhasil dan pengguna diarahkan ke Dashboard</t>
  </si>
  <si>
    <t>Memastikan pengguna dapat masuk ke sistem dan mengakses dashboard</t>
  </si>
  <si>
    <t>Pengguna memiliki akun yang valid</t>
  </si>
  <si>
    <t>Open</t>
  </si>
  <si>
    <t>1. Buka halaman login                             2. Masukkan username dan password                             3. klik login</t>
  </si>
  <si>
    <t>Pengguna berhasil login dan Dashboard ditampilkan</t>
  </si>
  <si>
    <t>Minor</t>
  </si>
  <si>
    <t>Username : Kosong                                       Password : Kosong</t>
  </si>
  <si>
    <t>Adnan Erlansyah</t>
  </si>
  <si>
    <t>Passed</t>
  </si>
  <si>
    <t>https://jam.dev/c/7e9dac58-9fd0-4493-9f32-86128121e56e</t>
  </si>
  <si>
    <t>Dahboard berhasil ditampilkan</t>
  </si>
  <si>
    <t>High</t>
  </si>
  <si>
    <t>username : Admin                                           password : admin123</t>
  </si>
  <si>
    <t>https://jam.dev/c/799ff439-2b6b-4507-8d21-f13baf31f68f</t>
  </si>
  <si>
    <t>Login Valid</t>
  </si>
  <si>
    <t>TS-001</t>
  </si>
  <si>
    <t>Login menggunakan akun yang valid</t>
  </si>
  <si>
    <t>Memastikan pengguna dapat masuk menggunakan akun yang benar</t>
  </si>
  <si>
    <t>Data sudah terdaftar dan sudah mengakkses halaman login</t>
  </si>
  <si>
    <t>Perlu meningkatkan kejelasan pesan validasi</t>
  </si>
  <si>
    <t xml:space="preserve">- akses laman login                    - input valid username                    - input valid password                         - klik tombol login </t>
  </si>
  <si>
    <t xml:space="preserve">Dashboard berhasil ditampilkan </t>
  </si>
  <si>
    <t>DEF002</t>
  </si>
  <si>
    <t>Dashboard</t>
  </si>
  <si>
    <t>Widget Dashboard memerlukanwaktu lebih lama untuk dimuat setelah login</t>
  </si>
  <si>
    <t>Dashboard Summary</t>
  </si>
  <si>
    <t xml:space="preserve">Login berhasil </t>
  </si>
  <si>
    <t>Sistem berhasil masuk ke Dashboard</t>
  </si>
  <si>
    <t>E2E-002</t>
  </si>
  <si>
    <t>Menampilkan informasi Dashboard setelah login</t>
  </si>
  <si>
    <t>1. Login ke sistem                                     2. Amati Dashbord</t>
  </si>
  <si>
    <t>Memastikan seluruh informasi ringkasan pada Dashboard ditampilkan setelah pengguna berhasil login</t>
  </si>
  <si>
    <t>Fixed</t>
  </si>
  <si>
    <t>Pengguna telah login</t>
  </si>
  <si>
    <t>Major</t>
  </si>
  <si>
    <t>Username : Admin                       Password : admin123</t>
  </si>
  <si>
    <t>1. Login                                       2. Amati seluruh widget Dashboard</t>
  </si>
  <si>
    <t>Username : Admin                                    Password : admin123</t>
  </si>
  <si>
    <t>Semua widget dan ringkasan data ditampilkan dengan benar</t>
  </si>
  <si>
    <t>https://jam.dev/c/5b78b348-0787-4c95-9949-3a906b0f08e7</t>
  </si>
  <si>
    <t>https://jam.dev/c/3e013063-0867-417a-a19c-586c647dac22</t>
  </si>
  <si>
    <t>Semua widget tampil</t>
  </si>
  <si>
    <t>-</t>
  </si>
  <si>
    <t>waktu muat lebih dari 5 detik</t>
  </si>
  <si>
    <t>https://jam.dev/c/24fd3b9e-efdb-41ba-b994-5270ecd3f119</t>
  </si>
  <si>
    <t>DEF003</t>
  </si>
  <si>
    <t>PIM</t>
  </si>
  <si>
    <t>Kolom nomor telepon masih menerima karakter alfabet</t>
  </si>
  <si>
    <t>Add Employee</t>
  </si>
  <si>
    <t>Login Invalid</t>
  </si>
  <si>
    <t>Login sebagai Admin</t>
  </si>
  <si>
    <t>E2E-003</t>
  </si>
  <si>
    <t>Admin menambahkan pegawai baru dan memverifikasi data pada Directory</t>
  </si>
  <si>
    <t>TS-002</t>
  </si>
  <si>
    <t>1. Buka PIM                                    2. Edit data pegawai                       3. Masukkan huruf pada kolom nomor telepon                                 4. simpan</t>
  </si>
  <si>
    <t>Login dengan password salah</t>
  </si>
  <si>
    <t>Memastikan data pegawai tersimpan dan dapat ditemukan pada modul Directory</t>
  </si>
  <si>
    <t>New</t>
  </si>
  <si>
    <t>Memastikan sistem menolak password yang salah</t>
  </si>
  <si>
    <t>Login sebagai admin</t>
  </si>
  <si>
    <t xml:space="preserve">1. Login                                   2. Buka PIM                               3. Tambahkan pegawai                    4. Simpan                                    5. Buka Directory dan cari pegawai </t>
  </si>
  <si>
    <t>No. Telepon = ABC123</t>
  </si>
  <si>
    <t>Pegawai berhasil ditambahkan dan muncul pada Directory</t>
  </si>
  <si>
    <t xml:space="preserve">- akses laman login                    - input valid username                    - input Invalid password                         - klik tombol login </t>
  </si>
  <si>
    <t>pesan "invalid Credentials" muncul</t>
  </si>
  <si>
    <t>Data pegawai ditemukan</t>
  </si>
  <si>
    <t>Validasi input belum membatasi karakter numerik</t>
  </si>
  <si>
    <t>username : Ahmad Wijaya</t>
  </si>
  <si>
    <t>Pesan tampil sesuai harapan</t>
  </si>
  <si>
    <t>DEF004</t>
  </si>
  <si>
    <t>https://jam.dev/c/b96e69fc-41f3-4fb7-8a49-d96b4a7efad0</t>
  </si>
  <si>
    <t>Leave</t>
  </si>
  <si>
    <t>Username : Admin                       Password : salah123</t>
  </si>
  <si>
    <t>https://jam.dev/c/0d19c8e8-9410-46eb-8576-b38b5b3006e7</t>
  </si>
  <si>
    <t>sistem masih menerima tanggal akhir cuti yang lebih awal daripada tanggal mulai</t>
  </si>
  <si>
    <t>login sebagai pegawai</t>
  </si>
  <si>
    <t>1. Buka Leave                                   2, Isi tanggal mulai lebih besar daripada tanggal selesai                       3. Submit</t>
  </si>
  <si>
    <t>Critical</t>
  </si>
  <si>
    <t>Admin</t>
  </si>
  <si>
    <t>Start: 20/08/2026
End: 18/08/2026</t>
  </si>
  <si>
    <t>User Management</t>
  </si>
  <si>
    <t>E2E-004</t>
  </si>
  <si>
    <t>Admin membuat akun pengguna baru dan login menggunakan akun tersebut</t>
  </si>
  <si>
    <t>Validasi rentang tanggal belum berjalan</t>
  </si>
  <si>
    <t>Memastikn akun yang dibuat dapat digunakan untuk login</t>
  </si>
  <si>
    <t>Empty Field</t>
  </si>
  <si>
    <t>TS-003</t>
  </si>
  <si>
    <t>1. Tambah akun pengguna                     2. Logout                           3. Login menggunakan akun baru</t>
  </si>
  <si>
    <t>DEF005</t>
  </si>
  <si>
    <t>Login tanpa mengisi data</t>
  </si>
  <si>
    <t>Akun berhasil dibuat dan dapat digunakan untuk login</t>
  </si>
  <si>
    <t>Memastikan field wajib divalidasi</t>
  </si>
  <si>
    <t>Time</t>
  </si>
  <si>
    <t>Tombol Punch Out masih aktif meskipun pengguna belum melakukan Punch In</t>
  </si>
  <si>
    <t>Login berhasil</t>
  </si>
  <si>
    <t xml:space="preserve">- akses laman login                    - kosongkan username                    - kosongkan password                         - klik tombol login </t>
  </si>
  <si>
    <t>1. Login                                                   2. Buka Time                                   3. Klik Punch Out</t>
  </si>
  <si>
    <t>username : user1                                        password : user123</t>
  </si>
  <si>
    <t>validasi required muncul</t>
  </si>
  <si>
    <t>https://jam.dev/c/ee9137e3-8325-4073-b9ac-449f4c99eace</t>
  </si>
  <si>
    <t>validasi berhasil muncul</t>
  </si>
  <si>
    <t>Seharusnya Punch Out hanya tersedia setelah Punch In</t>
  </si>
  <si>
    <t>Username :                        Password:</t>
  </si>
  <si>
    <t>https://jam.dev/c/500dde84-b270-45b9-860a-b1c3d282fd2a</t>
  </si>
  <si>
    <t>DEF006</t>
  </si>
  <si>
    <t>Recruitment</t>
  </si>
  <si>
    <t>Apply Leave</t>
  </si>
  <si>
    <t>E2E-005</t>
  </si>
  <si>
    <t>Sistem menerima file CV dengan format yang tidak didukung</t>
  </si>
  <si>
    <t>Pegawai mengajukan cuti dan memverifikasi status pengajuan</t>
  </si>
  <si>
    <t>Memastikan proses pengajuan cuti hingga status pengjuan berjalan dengan baik</t>
  </si>
  <si>
    <t>1. Tambahkan kandidat.
2. Upload file .exe.
3. Simpan.</t>
  </si>
  <si>
    <t>Pegawai telah login</t>
  </si>
  <si>
    <t>1. login                                   2. Buka leave                         3. Ajukan cuti                               4. Lihat My Leave</t>
  </si>
  <si>
    <t>TS-004</t>
  </si>
  <si>
    <t>Membuka Dashboard</t>
  </si>
  <si>
    <t>Status cuti menjadi submitted</t>
  </si>
  <si>
    <t>Memastikan seluruh widget tampil</t>
  </si>
  <si>
    <t>resume.exe</t>
  </si>
  <si>
    <t>Telah berhasil login</t>
  </si>
  <si>
    <t>Status submited tampil</t>
  </si>
  <si>
    <t>validasi tipe file belum diterapkan</t>
  </si>
  <si>
    <t>Annual leave</t>
  </si>
  <si>
    <t>https://jam.dev/c/e25c709b-def4-4c25-bcec-565961f58af4</t>
  </si>
  <si>
    <t>DEF007</t>
  </si>
  <si>
    <t>- Akses halaman login          - Masuk Dashboard</t>
  </si>
  <si>
    <t>Username dengan spasi di awal dan akhir tetap da[pat disimpan</t>
  </si>
  <si>
    <t>Semua widget tampil tanpa eror</t>
  </si>
  <si>
    <t>1. Tambahkan User.
2. Isi Username " admin ".
3. Simpan.</t>
  </si>
  <si>
    <t>Widget tampil normal</t>
  </si>
  <si>
    <t>Attendance</t>
  </si>
  <si>
    <t>" admin "</t>
  </si>
  <si>
    <t>E2E-006</t>
  </si>
  <si>
    <t>Pegawai melakukan Punch In dan Punch Out</t>
  </si>
  <si>
    <t>https://jam.dev/c/5af2fedd-5910-4d67-a8ef-36981366c3f6</t>
  </si>
  <si>
    <t>https://jam.dev/c/5ec5f315-fc0c-4aad-b453-cd0aec1392aa</t>
  </si>
  <si>
    <t>Memastikan data absensi tersimpan dengan benar</t>
  </si>
  <si>
    <t>1. Punch In                                       2. Punch Out                        3. Lihat riwayat absensi</t>
  </si>
  <si>
    <t>Data absensi tersimpan pada sistem</t>
  </si>
  <si>
    <t>Data sesuai</t>
  </si>
  <si>
    <t>08.00-17.00</t>
  </si>
  <si>
    <t>Quick Launch</t>
  </si>
  <si>
    <t>https://jam.dev/c/1d412088-0e2e-4038-8664-b3fd0fb9efbf</t>
  </si>
  <si>
    <t>TS-005</t>
  </si>
  <si>
    <t>Mengakses menu Quick Launch</t>
  </si>
  <si>
    <t>Memastikan shortcut berfungsi</t>
  </si>
  <si>
    <t>Sistem sebaiknya menghapus spasi secara otomastis (trim)</t>
  </si>
  <si>
    <t>- Akses halaman login          - Masuk Dashboard          - klik salah satu shortcut</t>
  </si>
  <si>
    <t>Menu tujuan berhasil dibuka</t>
  </si>
  <si>
    <t>Berhasil membuka halaman</t>
  </si>
  <si>
    <t>Medium</t>
  </si>
  <si>
    <t>leave</t>
  </si>
  <si>
    <t>Candidate Management</t>
  </si>
  <si>
    <t>E2E-007</t>
  </si>
  <si>
    <t>Menambahkan kandidat baru kemudian mencari data kandidat</t>
  </si>
  <si>
    <t>https://jam.dev/c/6e85b0b1-0882-4797-97a7-03eb6736ca8b</t>
  </si>
  <si>
    <t>Memastikan data kandidat tersimpan dan dapat dicari kembali</t>
  </si>
  <si>
    <t>1. Tambah kandidat                          2, Unggah CV                      3. Simpan                                       4. Cari kandidaat</t>
  </si>
  <si>
    <t>Kandidat berhasil disimpan dan ditemukan pada daftar kandidat</t>
  </si>
  <si>
    <t>Kandidat ditemukan</t>
  </si>
  <si>
    <t xml:space="preserve">User Management </t>
  </si>
  <si>
    <t>https://jam.dev/c/8300a399-eed2-48bf-a71d-89124fd509f2</t>
  </si>
  <si>
    <t>TS-006</t>
  </si>
  <si>
    <t>Menambahkan user baru</t>
  </si>
  <si>
    <t>Memastikan user dapat dibuat</t>
  </si>
  <si>
    <t>LOGO BRAND</t>
  </si>
  <si>
    <t>Human Resource Management (HRM) merupakan aplikasi yang dirancang untuk mendukung pengelolaan sumber daya manusia secara terintegrasi dalam suatu organisasi. Aplikasi ini terdiri dari beberapa modul utama, yaitu autentikasi pengguna, pengelolaan pegawai, administrasi cuti, absensi, rekrutmen, pengelolaan kinerja, administrasi sistem, dan pelaporan. Modul-modul tersebut saling terintegrasi untuk mendukung proses operasional kepegawaian secara lebih efisien dan terstruktur, mulai dari rekrutmen hingga evaluasi kinerja pegawai.</t>
  </si>
  <si>
    <t>Performance</t>
  </si>
  <si>
    <t>TITLE</t>
  </si>
  <si>
    <t>Performance Review</t>
  </si>
  <si>
    <t>E2E-008</t>
  </si>
  <si>
    <t>Membuat penilaian kinerja pegawai dan memverifikasi hasilnya</t>
  </si>
  <si>
    <t>Memastikan proses penilaian kinerja berjalan dengan baik</t>
  </si>
  <si>
    <t>Pegawai tesedia</t>
  </si>
  <si>
    <t>Total Defects</t>
  </si>
  <si>
    <t>1. Buka performance            2. Tambahkan penilaian          3. Simpan</t>
  </si>
  <si>
    <t>Penilaian berhasil disimpan</t>
  </si>
  <si>
    <t>Dokumen Eksekusi Pengujian Sistem (System Testing Execution) – OrangeHRM</t>
  </si>
  <si>
    <t>Penilaian tersimpan</t>
  </si>
  <si>
    <t>https://jam.dev/c/3296fa39-c244-4129-ad5f-6b47e851f256</t>
  </si>
  <si>
    <t>Directory</t>
  </si>
  <si>
    <t xml:space="preserve">- Telah berhasil login                               - Klik menu admin                    - Klik Add                             - Pilih user role                   - Pilih Employee Name                 - Pilih status                         - Input username                           -input password                                 - Input confirm password               - Input data                            - Klik tombol simpan                   - User berhasil ditambahkan </t>
  </si>
  <si>
    <t>Employee Directory</t>
  </si>
  <si>
    <t>User berhasil disimpan</t>
  </si>
  <si>
    <t>E2E-009</t>
  </si>
  <si>
    <t>Mencari pegawai yang telah ditambahkan pada PIM</t>
  </si>
  <si>
    <t>Memastikan sinkronisasi data antara PIM dan Directory</t>
  </si>
  <si>
    <t>PROJECT NAME</t>
  </si>
  <si>
    <t>Pegawai telah dibuat</t>
  </si>
  <si>
    <t>1. Buka Directory                        2. Cari nama pegawai</t>
  </si>
  <si>
    <t>Total Tests</t>
  </si>
  <si>
    <t>User berhasil dibuat</t>
  </si>
  <si>
    <t>Pegawai ditemukan</t>
  </si>
  <si>
    <t>OrangeHRM Open Source Demo</t>
  </si>
  <si>
    <t>Employee name : Ranga Akunuri                                  Status : Enable          Username : Admin 2                     Password : admin1234</t>
  </si>
  <si>
    <t>Santoso mohan das</t>
  </si>
  <si>
    <t>https://jam.dev/c/c2528fc3-8db5-441a-8e38-218a17656440</t>
  </si>
  <si>
    <t>https://jam.dev/c/610029ce-e1bb-40c0-ae0e-800947f8054b</t>
  </si>
  <si>
    <t>Passing Rate</t>
  </si>
  <si>
    <t>Buzz</t>
  </si>
  <si>
    <t>Buzz Post</t>
  </si>
  <si>
    <t>E2E-010</t>
  </si>
  <si>
    <t>Membuat postingan pada Buzz dan memverifikasi tampilannya</t>
  </si>
  <si>
    <t>Memastikan postingan berhasil dipublikasikan</t>
  </si>
  <si>
    <t>login berhasi</t>
  </si>
  <si>
    <t>Duplicate User</t>
  </si>
  <si>
    <t>1. Buka Buzz                         2. Buat postingan                   3. Simpan</t>
  </si>
  <si>
    <t>Pending Retest</t>
  </si>
  <si>
    <t>Postinan tampil pada halaman BUzz</t>
  </si>
  <si>
    <t>TS-007</t>
  </si>
  <si>
    <t>Menambahkan username yang sama</t>
  </si>
  <si>
    <t>Retest</t>
  </si>
  <si>
    <t>Postingan berhasil tampil</t>
  </si>
  <si>
    <t>Report Prepared By</t>
  </si>
  <si>
    <t>Memastikan username unik</t>
  </si>
  <si>
    <t>Low</t>
  </si>
  <si>
    <t>"hai"</t>
  </si>
  <si>
    <t>Report Date</t>
  </si>
  <si>
    <t>https://jam.dev/c/ee5fd218-0613-4ad0-bd38-2da7b511bf2e</t>
  </si>
  <si>
    <t xml:space="preserve">- Telah berhasil login                                  - Klik menu admin                    - Klik Add                             - Input username duplicate      </t>
  </si>
  <si>
    <t>Sistem menolak penyimpanan</t>
  </si>
  <si>
    <t>Start Date</t>
  </si>
  <si>
    <t>Pesan validasi muncul</t>
  </si>
  <si>
    <t>End Date</t>
  </si>
  <si>
    <t>Username : Admin 2                     Password : admin1234</t>
  </si>
  <si>
    <t>https://jam.dev/c/5ca0ca88-809e-4faf-a14a-729479be891c</t>
  </si>
  <si>
    <t>Maintenance</t>
  </si>
  <si>
    <t>Verify Password</t>
  </si>
  <si>
    <t>E2E-011</t>
  </si>
  <si>
    <t>Verifikasi password sebelum mengakses menu Maintenance</t>
  </si>
  <si>
    <t>Memastikan autentikasi ulang berfungsi dengan baik</t>
  </si>
  <si>
    <t>login sebagai admin</t>
  </si>
  <si>
    <t>Reopen</t>
  </si>
  <si>
    <t>1. Buka Maintenance         2. Masukkan password            3. Klik verify</t>
  </si>
  <si>
    <t>Halaman Maintenance dapat diakses</t>
  </si>
  <si>
    <t>Closed</t>
  </si>
  <si>
    <t>Berhasil diverifikasi</t>
  </si>
  <si>
    <t>password : admin123</t>
  </si>
  <si>
    <r>
      <rPr>
        <rFont val="Arial"/>
        <b/>
        <color rgb="FFFFFFFF"/>
        <sz val="13.0"/>
      </rPr>
      <t>TEST OBJECTIVES</t>
    </r>
    <r>
      <rPr>
        <rFont val="Arial"/>
        <color rgb="FFFFFFFF"/>
        <sz val="13.0"/>
      </rPr>
      <t xml:space="preserve"> - Description of the testing goals</t>
    </r>
  </si>
  <si>
    <t>https://jam.dev/c/04a7a5cd-dfa0-4930-860d-ff29fa6dc25a</t>
  </si>
  <si>
    <t>Search User</t>
  </si>
  <si>
    <t>TS-008</t>
  </si>
  <si>
    <t>Pencarian user</t>
  </si>
  <si>
    <t>Environment</t>
  </si>
  <si>
    <t>Memastikan fitur pencarian berjalan</t>
  </si>
  <si>
    <t>Data tersedia</t>
  </si>
  <si>
    <t xml:space="preserve">Memastikan seluruh fitur utama OrangeHRM berjalan sesuai kebutuhan bisnis, mulai dari proses autentikasi, pengelolaan data pegawai, cuti, absensi, rekrutmen, performa, hingga administrasi sistem. Pengujian bertujuan untuk mengidentifikasi defect, validasi fungsionalitas, mengevaluasi alur bisnis end-to-end, serta menemukan potensi celah, ambiguita, dan fitur yang belum terakomodasi                    </t>
  </si>
  <si>
    <t>- Telah berhasil login                     - Klik menu admin        -Input username               -Input user role                        - Input employee name                     - input status                         - Cari data yang ingin dicari</t>
  </si>
  <si>
    <t>Data yang sesuai tampil</t>
  </si>
  <si>
    <r>
      <rPr>
        <sz val="12.0"/>
      </rPr>
      <t xml:space="preserve">Dev
</t>
    </r>
    <r>
      <rPr>
        <color rgb="FF1155CC"/>
        <sz val="12.0"/>
        <u/>
      </rPr>
      <t>https://opensource-demo.orangehrmlive.com/</t>
    </r>
  </si>
  <si>
    <t>Delete User</t>
  </si>
  <si>
    <t>Data ditemukan</t>
  </si>
  <si>
    <t>E2E-012</t>
  </si>
  <si>
    <t>Menghapus akun pengguna dan memastikan akun tidak dapat digunakan kembali</t>
  </si>
  <si>
    <t>Memastikan penghapusan akun diterapkan pada proses login</t>
  </si>
  <si>
    <t>akun pengguna tersedia</t>
  </si>
  <si>
    <t>https://jam.dev/c/6e42baa1-d5b0-47e1-9985-1422c6548018</t>
  </si>
  <si>
    <t xml:space="preserve">1. Hapus akun                  2. Logout                                                 3. Login menggunakan akun yang dihapus </t>
  </si>
  <si>
    <t>Login ditolak karena akun telah dihapus</t>
  </si>
  <si>
    <t>Login gagal</t>
  </si>
  <si>
    <t>User QA</t>
  </si>
  <si>
    <t>Add Empolye</t>
  </si>
  <si>
    <t>TS-009</t>
  </si>
  <si>
    <t>Dashboard Data</t>
  </si>
  <si>
    <t>Menambah pegawai</t>
  </si>
  <si>
    <t>Edit Employee</t>
  </si>
  <si>
    <t>Memastikan pegawai baru dapat ditambahkan</t>
  </si>
  <si>
    <t>DEFECT SUMMARY</t>
  </si>
  <si>
    <t>E2E-013</t>
  </si>
  <si>
    <t>Mengubah data pegawai dan memverifikasi perubahan pada Directory</t>
  </si>
  <si>
    <t xml:space="preserve">Memastikan perubahan data tersinkronisasi </t>
  </si>
  <si>
    <t>TEST EXECUTION SUMMARY</t>
  </si>
  <si>
    <t>- Telah berhasil login                              - Klik menu PIM                         -  Klik tab add employee     - Input first name                           - Input Last name                   - Klik save</t>
  </si>
  <si>
    <t>pegawai tersedia</t>
  </si>
  <si>
    <t>Data berhasil tersimpan</t>
  </si>
  <si>
    <t>1. Edit data pegawai                         2. Simpan                 3.Buka Directory</t>
  </si>
  <si>
    <t>Total No. of Defects</t>
  </si>
  <si>
    <t>Data terbaru diampilkan</t>
  </si>
  <si>
    <t>Data berhasil disimpan</t>
  </si>
  <si>
    <t>Data diperbaharui</t>
  </si>
  <si>
    <t>First name : Rani                                     Last Name : Septiani</t>
  </si>
  <si>
    <t>Pegawai : Ahsen 2</t>
  </si>
  <si>
    <t>https://jam.dev/c/27417517-98fb-4449-9001-1ab857adeda9</t>
  </si>
  <si>
    <t>https://jam.dev/c/201eed6b-dc85-448e-9bfb-916f8eb09e25</t>
  </si>
  <si>
    <t>Total No. of Tests</t>
  </si>
  <si>
    <t>recruitment</t>
  </si>
  <si>
    <t>Required Field</t>
  </si>
  <si>
    <t>Candidate Status</t>
  </si>
  <si>
    <t>TS-010</t>
  </si>
  <si>
    <t>E2E-014</t>
  </si>
  <si>
    <t>Simpan tanpa nama</t>
  </si>
  <si>
    <t>Memperbaharui status kandidat rekrutmen</t>
  </si>
  <si>
    <t>Memastikan peubahan status kandidat berhasil disimpan</t>
  </si>
  <si>
    <t>kandidat tersedia</t>
  </si>
  <si>
    <t>Ubah status kandidat kemudian simpan</t>
  </si>
  <si>
    <t>Pesan required muncul</t>
  </si>
  <si>
    <t>Status kandidat berubah sesuai pembaruan</t>
  </si>
  <si>
    <t>Validasi data tampil</t>
  </si>
  <si>
    <t>Status berhasil diperbaharui</t>
  </si>
  <si>
    <t>https://jam.dev/c/81b44e0b-446e-4ff6-9603-5e92a1825a4e</t>
  </si>
  <si>
    <t>Kandidat : Budi Santoso</t>
  </si>
  <si>
    <t>https://jam.dev/c/ef9ffe59-56dc-4555-a50b-e84b2c5c0cb5</t>
  </si>
  <si>
    <t>Leave History</t>
  </si>
  <si>
    <t>E2E-015</t>
  </si>
  <si>
    <t>Memverifikasi riwayat cuti setelah pengajuan</t>
  </si>
  <si>
    <t>TS-011</t>
  </si>
  <si>
    <t>Mengubah data pegawai</t>
  </si>
  <si>
    <t>Memastikan riwayat cuti diperbaharui setelah pengajuan berhasil</t>
  </si>
  <si>
    <t>Memastikan perubahan data tersimpan</t>
  </si>
  <si>
    <t>Pengajuan cuti telah dilakukan</t>
  </si>
  <si>
    <t>Buka menu My Leave</t>
  </si>
  <si>
    <t>Riwayat cuti menampilkan data terbaru</t>
  </si>
  <si>
    <t>- Telah berhasil login                              - Klik menu PIM                         -  Klik edit pada data yang akan diubah                         - Ubah username                                      - Klik save</t>
  </si>
  <si>
    <t>Failed</t>
  </si>
  <si>
    <t>Data berhasil diubah</t>
  </si>
  <si>
    <t>Riwayat sesuai</t>
  </si>
  <si>
    <t>Data berhasil di perbaharui</t>
  </si>
  <si>
    <t>https://jam.dev/c/8348ff7e-9de5-439b-914d-5f733ffde00b</t>
  </si>
  <si>
    <t>Update username</t>
  </si>
  <si>
    <t>https://jam.dev/c/5df69bb5-2daf-479c-928c-ef6616c66b4d</t>
  </si>
  <si>
    <t>Attendance Record</t>
  </si>
  <si>
    <t>E2E-016</t>
  </si>
  <si>
    <t>Memverifikasi riwayat absensi setelah Punch Out</t>
  </si>
  <si>
    <t>Blocked</t>
  </si>
  <si>
    <t>Memastikan riwayat absesnsi diperbaharui secara otomatis</t>
  </si>
  <si>
    <t xml:space="preserve">Punch Out telah dilakukan </t>
  </si>
  <si>
    <t>TS-012</t>
  </si>
  <si>
    <t>Buka menu attendance record</t>
  </si>
  <si>
    <t xml:space="preserve">Mengajukan cuti </t>
  </si>
  <si>
    <t>Riwayat absensi menampilkan waktu masuk dan keluar</t>
  </si>
  <si>
    <t>Memastikan pengajuan cuti berhasil</t>
  </si>
  <si>
    <t>- Telah berhasil login                             - Klik menu leave                - Klik tab entitlements                   - Klik add entitlements                           - Pilih jenis cuti beberapa karyawan atau perorangan           - Input employee name                   - Pilih leave type                     - Pilih leave periode                      -Input jumlah hari cuti</t>
  </si>
  <si>
    <t>Status Submitted</t>
  </si>
  <si>
    <t>https://jam.dev/c/e8e9ac49-fc9d-4c8f-b03a-51be1bfa71e7</t>
  </si>
  <si>
    <t>Defect Contribution</t>
  </si>
  <si>
    <t>Berhasil submit</t>
  </si>
  <si>
    <t>Annual Leave</t>
  </si>
  <si>
    <t>https://jam.dev/c/3465251d-c12b-4a89-899b-118cbe338983</t>
  </si>
  <si>
    <t>E2E-017</t>
  </si>
  <si>
    <t>Mengakses modul melalui Quick Launch Dasboard</t>
  </si>
  <si>
    <t>Memastikan setiap menu Quick Launch mengarahkan ke halaman yang benar</t>
  </si>
  <si>
    <t>klik salah satu menu Quick Launch</t>
  </si>
  <si>
    <t>Halaman tujuan terbuka sesuai menu yang dipilih</t>
  </si>
  <si>
    <t>Navigasi berhasil</t>
  </si>
  <si>
    <t>Empty Date</t>
  </si>
  <si>
    <t>TS-013</t>
  </si>
  <si>
    <t>Tanggal kosong</t>
  </si>
  <si>
    <t>Memastikan tanggal wajib diisi</t>
  </si>
  <si>
    <t xml:space="preserve">Telah berhasil login </t>
  </si>
  <si>
    <t>- Telah berhasil login                             - Klik menu leave                - Klik tab entitlements                   - Klik add entitlements                           - Pilih jenis cuti beberapa karyawan atau perorangan           - Input employee name                   - Pilih leave type                     - Kosongkan leave period                      -Input jumlah hari cuti</t>
  </si>
  <si>
    <t>Validasi muncul</t>
  </si>
  <si>
    <t>Validasi tampil</t>
  </si>
  <si>
    <t>Kosong</t>
  </si>
  <si>
    <t>https://jam.dev/c/e16e70d6-c808-4f69-9d41-4565dfdf421c</t>
  </si>
  <si>
    <t>https://jam.dev/c/e74930c9-6a0c-4599-9264-6acc987a8279</t>
  </si>
  <si>
    <t>Leave Balance</t>
  </si>
  <si>
    <t>TS-014</t>
  </si>
  <si>
    <t>Cuti melebihi saldo</t>
  </si>
  <si>
    <t>Memastikan sistem saldo cuti</t>
  </si>
  <si>
    <t>Saldo tersedia</t>
  </si>
  <si>
    <t>Pengajuan cuti ditolak</t>
  </si>
  <si>
    <t>Pengajuan ditolak</t>
  </si>
  <si>
    <t>Logout</t>
  </si>
  <si>
    <t>menunggu 30 hari</t>
  </si>
  <si>
    <t>Session Management</t>
  </si>
  <si>
    <t>https://jam.dev/c/9e7fe091-f8f5-4ff3-8416-106cabc0e006</t>
  </si>
  <si>
    <t>E2E-018</t>
  </si>
  <si>
    <t>Logout setelah seluruh proses bisnis selesai</t>
  </si>
  <si>
    <t>Memastikan sesi pengguna berakhir dengan benar</t>
  </si>
  <si>
    <t>Pengguna sedang login</t>
  </si>
  <si>
    <t>Klik logout</t>
  </si>
  <si>
    <t>Sistem kembali ke halaman login dan sesi berakhir</t>
  </si>
  <si>
    <t>Punch In</t>
  </si>
  <si>
    <t>TS-015</t>
  </si>
  <si>
    <t>Logout berhasil</t>
  </si>
  <si>
    <t>Absen pulang</t>
  </si>
  <si>
    <t>Memastikan absen masuk berhasil</t>
  </si>
  <si>
    <t>https://jam.dev/c/824fc2e5-9514-480d-904f-33d9f260fd87</t>
  </si>
  <si>
    <t xml:space="preserve">- Telah behasil login                           - Klik menu time               - Pilih tab attandence                - Klik punch In/Out                 - Pilih tanggal                               - Pilih waktu                                    - Input note                                          - Klik in               </t>
  </si>
  <si>
    <t>Status masuk tercatat</t>
  </si>
  <si>
    <t>Jam 08:00 -17.00</t>
  </si>
  <si>
    <t>https://jam.dev/c/a7d2325f-81e2-4b33-8368-890aa9cd2c98</t>
  </si>
  <si>
    <t>Not Executed</t>
  </si>
  <si>
    <t>Punch Out</t>
  </si>
  <si>
    <t>TS-016</t>
  </si>
  <si>
    <t>Absen masuk</t>
  </si>
  <si>
    <t>Memastikan absen pulang berhasil</t>
  </si>
  <si>
    <t>Telah berhasil absen masuk</t>
  </si>
  <si>
    <t xml:space="preserve">- Telah behasil login                           - Klik menu time               - Pilih tab attandence                - Klik punch In/Out                                      - Klik out              </t>
  </si>
  <si>
    <t>Total Defect</t>
  </si>
  <si>
    <t>Overall 
Defect</t>
  </si>
  <si>
    <t>Jam keluar tersimpan</t>
  </si>
  <si>
    <t>Jam 17:00</t>
  </si>
  <si>
    <t>https://jam.dev/c/8fd33929-67ff-4d46-b0c6-50d9a8865503</t>
  </si>
  <si>
    <t>Add Candidate</t>
  </si>
  <si>
    <t>TS-017</t>
  </si>
  <si>
    <t>Menambahkan kandidat</t>
  </si>
  <si>
    <t>Memastikan kandidat tersimpan</t>
  </si>
  <si>
    <t>- Telah berhasil login            - Klik menu recruitment              - Klik tab candidate                       - Isi data                               - upload resume                    - klik add</t>
  </si>
  <si>
    <t>Data tersimpan</t>
  </si>
  <si>
    <t>data pegawai baru</t>
  </si>
  <si>
    <t>https://jam.dev/c/899ce2e5-c57b-4e74-89ef-393087089ea9</t>
  </si>
  <si>
    <t>Upload Resume</t>
  </si>
  <si>
    <t>TS-018</t>
  </si>
  <si>
    <t>Memastikan file berhasil diunggah</t>
  </si>
  <si>
    <t>- Telah berhasil login            - Klik menu recruitment              - klik tab vacancies                       - isi data                               - upload resume                    - klik add</t>
  </si>
  <si>
    <t>Upload berhasil</t>
  </si>
  <si>
    <t>Data berhasil terupload</t>
  </si>
  <si>
    <t>resume.pdf</t>
  </si>
  <si>
    <t>https://jam.dev/c/bf03e451-b0d1-4ac1-a311-e1b05b6d65a1</t>
  </si>
  <si>
    <t>Search Employee</t>
  </si>
  <si>
    <t>TS-019</t>
  </si>
  <si>
    <t>Cari Pegawai</t>
  </si>
  <si>
    <t>Memastikan pencarian berjalan</t>
  </si>
  <si>
    <t>- telah berhasil login                 - klik menu performance           - klik tab Employee review                   - isi data                              -klik search</t>
  </si>
  <si>
    <t>Data muncul</t>
  </si>
  <si>
    <t>Nama pegawai : Linda Anderson</t>
  </si>
  <si>
    <t>https://jam.dev/c/468c4113-50b0-49b0-b933-ea6f7c635950</t>
  </si>
  <si>
    <t>TS-020</t>
  </si>
  <si>
    <t>Memastikan directory berfungsi</t>
  </si>
  <si>
    <t>- telah berhasil login                 - klik menu directory           - klik tab directory                   - isi data                              -klik search</t>
  </si>
  <si>
    <t>Pegawai tampil</t>
  </si>
  <si>
    <t/>
  </si>
  <si>
    <t>Nama pegawai : A8dco</t>
  </si>
  <si>
    <t>https://jam.dev/c/c661fa25-40a7-4197-9dea-6585e6f8abc3</t>
  </si>
  <si>
    <t xml:space="preserve">Verify Password </t>
  </si>
  <si>
    <t>TS-021</t>
  </si>
  <si>
    <t>Verifikasi password</t>
  </si>
  <si>
    <t>Memastikan autentikasi ulang berhasil</t>
  </si>
  <si>
    <t>- telah berhasil login                 - klik menu maintenance             - isi password                        -klik confirm</t>
  </si>
  <si>
    <t>Halaman terbuka</t>
  </si>
  <si>
    <t>Halaman berhasil terbuka</t>
  </si>
  <si>
    <t>https://jam.dev/c/36e5ced9-ecef-41b0-ad5a-e6f1634901e9</t>
  </si>
  <si>
    <t>TS-022</t>
  </si>
  <si>
    <t>Logout Sistem</t>
  </si>
  <si>
    <t>Memastikan sesi berakhir</t>
  </si>
  <si>
    <t>- telah berhasil login                 - klik logi profile             - klik login</t>
  </si>
  <si>
    <t>Kembali ke halaman login</t>
  </si>
  <si>
    <t>Berhasil logout</t>
  </si>
  <si>
    <t>https://jam.dev/c/170f983c-35f5-471b-ac26-40273896aa33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</si>
</sst>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8">
    <font>
      <sz val="10.0"/>
      <color rgb="FF000000"/>
      <name val="Arial"/>
      <scheme val="minor"/>
    </font>
    <font>
      <sz val="28.0"/>
      <color rgb="FF4285F4"/>
      <name val="Arial"/>
      <scheme val="minor"/>
    </font>
    <font>
      <sz val="28.0"/>
      <color rgb="FF38761D"/>
      <name val="Arial"/>
      <scheme val="minor"/>
    </font>
    <font>
      <b/>
      <sz val="16.0"/>
      <color theme="1"/>
      <name val="Arial"/>
      <scheme val="minor"/>
    </font>
    <font>
      <color theme="1"/>
      <name val="Arial"/>
      <scheme val="minor"/>
    </font>
    <font>
      <sz val="14.0"/>
      <color theme="1"/>
      <name val="Arial"/>
      <scheme val="minor"/>
    </font>
    <font/>
    <font>
      <sz val="12.0"/>
      <color theme="1"/>
      <name val="Arial"/>
      <scheme val="minor"/>
    </font>
    <font>
      <u/>
      <sz val="12.0"/>
      <color rgb="FF0000FF"/>
    </font>
    <font>
      <u/>
      <sz val="12.0"/>
      <color rgb="FF0000FF"/>
    </font>
    <font>
      <sz val="12.0"/>
      <color theme="1"/>
      <name val="Arial"/>
    </font>
    <font>
      <u/>
      <sz val="12.0"/>
      <color rgb="FF0000FF"/>
    </font>
    <font>
      <sz val="48.0"/>
      <color theme="1"/>
      <name val="Arial"/>
      <scheme val="minor"/>
    </font>
    <font>
      <sz val="16.0"/>
      <color rgb="FF495057"/>
      <name val="Arial"/>
    </font>
    <font>
      <b/>
      <sz val="14.0"/>
      <color rgb="FFFFFFFF"/>
      <name val="Arial"/>
      <scheme val="minor"/>
    </font>
    <font>
      <b/>
      <sz val="14.0"/>
      <color theme="0"/>
      <name val="Arial"/>
      <scheme val="minor"/>
    </font>
    <font>
      <sz val="28.0"/>
      <color theme="1"/>
      <name val="Arial"/>
      <scheme val="minor"/>
    </font>
    <font>
      <sz val="30.0"/>
      <color theme="1"/>
      <name val="Arial"/>
      <scheme val="minor"/>
    </font>
    <font>
      <b/>
      <sz val="12.0"/>
      <color theme="1"/>
      <name val="Arial"/>
      <scheme val="minor"/>
    </font>
    <font>
      <sz val="13.0"/>
      <color rgb="FF000000"/>
      <name val="Arial"/>
      <scheme val="minor"/>
    </font>
    <font>
      <sz val="13.0"/>
      <color rgb="FFFFFFFF"/>
      <name val="Arial"/>
      <scheme val="minor"/>
    </font>
    <font>
      <sz val="13.0"/>
      <color theme="1"/>
      <name val="Arial"/>
      <scheme val="minor"/>
    </font>
    <font>
      <sz val="13.0"/>
      <color theme="0"/>
      <name val="Arial"/>
      <scheme val="minor"/>
    </font>
    <font>
      <u/>
      <sz val="12.0"/>
      <color rgb="FF0000FF"/>
    </font>
    <font>
      <sz val="16.0"/>
      <color theme="1"/>
      <name val="Arial"/>
      <scheme val="minor"/>
    </font>
    <font>
      <sz val="14.0"/>
      <color rgb="FFFFFFFF"/>
      <name val="Arial"/>
      <scheme val="minor"/>
    </font>
    <font>
      <u/>
      <sz val="12.0"/>
      <color rgb="FF0000FF"/>
    </font>
    <font>
      <sz val="20.0"/>
      <color theme="1"/>
      <name val="Arial"/>
      <scheme val="minor"/>
    </font>
  </fonts>
  <fills count="30">
    <fill>
      <patternFill patternType="none"/>
    </fill>
    <fill>
      <patternFill patternType="lightGray"/>
    </fill>
    <fill>
      <patternFill patternType="solid">
        <fgColor theme="9"/>
        <bgColor theme="9"/>
      </patternFill>
    </fill>
    <fill>
      <patternFill patternType="solid">
        <fgColor rgb="FFB6D7A8"/>
        <bgColor rgb="FFB6D7A8"/>
      </patternFill>
    </fill>
    <fill>
      <patternFill patternType="solid">
        <fgColor rgb="FFD9D9D9"/>
        <bgColor rgb="FFD9D9D9"/>
      </patternFill>
    </fill>
    <fill>
      <patternFill patternType="solid">
        <fgColor rgb="FFFF0000"/>
        <bgColor rgb="FFFF0000"/>
      </patternFill>
    </fill>
    <fill>
      <patternFill patternType="solid">
        <fgColor rgb="FF6D9EEB"/>
        <bgColor rgb="FF6D9EEB"/>
      </patternFill>
    </fill>
    <fill>
      <patternFill patternType="solid">
        <fgColor theme="6"/>
        <bgColor theme="6"/>
      </patternFill>
    </fill>
    <fill>
      <patternFill patternType="solid">
        <fgColor rgb="FFC9DAF8"/>
        <bgColor rgb="FFC9DAF8"/>
      </patternFill>
    </fill>
    <fill>
      <patternFill patternType="solid">
        <fgColor rgb="FFFCE5CD"/>
        <bgColor rgb="FFFCE5CD"/>
      </patternFill>
    </fill>
    <fill>
      <patternFill patternType="solid">
        <fgColor rgb="FFCFE2F3"/>
        <bgColor rgb="FFCFE2F3"/>
      </patternFill>
    </fill>
    <fill>
      <patternFill patternType="solid">
        <fgColor rgb="FF93C47D"/>
        <bgColor rgb="FF93C47D"/>
      </patternFill>
    </fill>
    <fill>
      <patternFill patternType="solid">
        <fgColor rgb="FF999999"/>
        <bgColor rgb="FF999999"/>
      </patternFill>
    </fill>
    <fill>
      <patternFill patternType="solid">
        <fgColor theme="4"/>
        <bgColor theme="4"/>
      </patternFill>
    </fill>
    <fill>
      <patternFill patternType="solid">
        <fgColor rgb="FFEFEFEF"/>
        <bgColor rgb="FFEFEFEF"/>
      </patternFill>
    </fill>
    <fill>
      <patternFill patternType="solid">
        <fgColor rgb="FF6AA84F"/>
        <bgColor rgb="FF6AA84F"/>
      </patternFill>
    </fill>
    <fill>
      <patternFill patternType="solid">
        <fgColor rgb="FFC6DBE1"/>
        <bgColor rgb="FFC6DBE1"/>
      </patternFill>
    </fill>
    <fill>
      <patternFill patternType="solid">
        <fgColor rgb="FFFFE5A0"/>
        <bgColor rgb="FFFFE5A0"/>
      </patternFill>
    </fill>
    <fill>
      <patternFill patternType="solid">
        <fgColor rgb="FFCC0000"/>
        <bgColor rgb="FFCC0000"/>
      </patternFill>
    </fill>
    <fill>
      <patternFill patternType="solid">
        <fgColor rgb="FF11734B"/>
        <bgColor rgb="FF11734B"/>
      </patternFill>
    </fill>
    <fill>
      <patternFill patternType="solid">
        <fgColor rgb="FFB7B7B7"/>
        <bgColor rgb="FFB7B7B7"/>
      </patternFill>
    </fill>
    <fill>
      <patternFill patternType="solid">
        <fgColor rgb="FFE6CFF2"/>
        <bgColor rgb="FFE6CFF2"/>
      </patternFill>
    </fill>
    <fill>
      <patternFill patternType="solid">
        <fgColor rgb="FFA4C2F4"/>
        <bgColor rgb="FFA4C2F4"/>
      </patternFill>
    </fill>
    <fill>
      <patternFill patternType="solid">
        <fgColor rgb="FF5A3286"/>
        <bgColor rgb="FF5A3286"/>
      </patternFill>
    </fill>
    <fill>
      <patternFill patternType="solid">
        <fgColor rgb="FF9FC5E8"/>
        <bgColor rgb="FF9FC5E8"/>
      </patternFill>
    </fill>
    <fill>
      <patternFill patternType="solid">
        <fgColor rgb="FF0A53A8"/>
        <bgColor rgb="FF0A53A8"/>
      </patternFill>
    </fill>
    <fill>
      <patternFill patternType="solid">
        <fgColor rgb="FFE8EAED"/>
        <bgColor rgb="FFE8EAED"/>
      </patternFill>
    </fill>
    <fill>
      <patternFill patternType="solid">
        <fgColor rgb="FFBFE1F6"/>
        <bgColor rgb="FFBFE1F6"/>
      </patternFill>
    </fill>
    <fill>
      <patternFill patternType="solid">
        <fgColor rgb="FFFFCFC9"/>
        <bgColor rgb="FFFFCFC9"/>
      </patternFill>
    </fill>
    <fill>
      <patternFill patternType="solid">
        <fgColor theme="5"/>
        <bgColor theme="5"/>
      </patternFill>
    </fill>
  </fills>
  <borders count="16">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top style="thin">
        <color rgb="FF000000"/>
      </top>
    </border>
    <border>
      <left style="thin">
        <color rgb="FF000000"/>
      </left>
    </border>
    <border>
      <right style="thin">
        <color rgb="FF000000"/>
      </right>
    </border>
    <border>
      <bottom style="thin">
        <color rgb="FF000000"/>
      </bottom>
    </border>
    <border>
      <left style="thin">
        <color rgb="FF000000"/>
      </left>
      <right style="thin">
        <color rgb="FF000000"/>
      </right>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2" numFmtId="0" xfId="0" applyAlignment="1" applyFont="1">
      <alignment horizontal="left" readingOrder="0" vertical="center"/>
    </xf>
    <xf borderId="0" fillId="0" fontId="3" numFmtId="0" xfId="0" applyAlignment="1" applyFont="1">
      <alignment horizontal="center" readingOrder="0" vertical="center"/>
    </xf>
    <xf borderId="0" fillId="0" fontId="4" numFmtId="0" xfId="0" applyAlignment="1" applyFont="1">
      <alignment horizontal="center" readingOrder="0" vertical="center"/>
    </xf>
    <xf borderId="1" fillId="2" fontId="5" numFmtId="0" xfId="0" applyAlignment="1" applyBorder="1" applyFill="1" applyFont="1">
      <alignment horizontal="center" readingOrder="0" vertical="center"/>
    </xf>
    <xf borderId="2" fillId="0" fontId="6" numFmtId="0" xfId="0" applyBorder="1" applyFont="1"/>
    <xf borderId="1" fillId="3" fontId="5" numFmtId="0" xfId="0" applyAlignment="1" applyBorder="1" applyFill="1" applyFont="1">
      <alignment readingOrder="0" shrinkToFit="0" vertical="center" wrapText="1"/>
    </xf>
    <xf borderId="3" fillId="2" fontId="5" numFmtId="0" xfId="0" applyAlignment="1" applyBorder="1" applyFill="1" applyFont="1">
      <alignment horizontal="center" readingOrder="0" shrinkToFit="0" vertical="center" wrapText="1"/>
    </xf>
    <xf borderId="1" fillId="2" fontId="5" numFmtId="0" xfId="0" applyAlignment="1" applyBorder="1" applyFill="1" applyFont="1">
      <alignment horizontal="center" readingOrder="0" shrinkToFit="0" vertical="center" wrapText="1"/>
    </xf>
    <xf borderId="1" fillId="4" fontId="5" numFmtId="0" xfId="0" applyAlignment="1" applyBorder="1" applyFill="1" applyFont="1">
      <alignment readingOrder="0" shrinkToFit="0" vertical="center" wrapText="1"/>
    </xf>
    <xf borderId="4" fillId="0" fontId="6" numFmtId="0" xfId="0" applyBorder="1" applyFont="1"/>
    <xf borderId="1" fillId="4" fontId="5" numFmtId="0" xfId="0" applyAlignment="1" applyBorder="1" applyFill="1" applyFont="1">
      <alignment horizontal="center" readingOrder="0" vertical="center"/>
    </xf>
    <xf borderId="5" fillId="0" fontId="6" numFmtId="0" xfId="0" applyBorder="1" applyFont="1"/>
    <xf borderId="6" fillId="0" fontId="6" numFmtId="0" xfId="0" applyBorder="1" applyFont="1"/>
    <xf borderId="7" fillId="0" fontId="7" numFmtId="0" xfId="0" applyAlignment="1" applyBorder="1" applyFont="1">
      <alignment horizontal="center" readingOrder="0" shrinkToFit="0" vertical="center" wrapText="1"/>
    </xf>
    <xf borderId="8" fillId="0" fontId="6" numFmtId="0" xfId="0" applyBorder="1" applyFont="1"/>
    <xf borderId="7" fillId="0" fontId="7" numFmtId="0" xfId="0" applyAlignment="1" applyBorder="1" applyFont="1">
      <alignment horizontal="center" readingOrder="0" vertical="center"/>
    </xf>
    <xf borderId="9" fillId="0" fontId="7" numFmtId="0" xfId="0" applyAlignment="1" applyBorder="1" applyFont="1">
      <alignment horizontal="center" readingOrder="0" vertical="center"/>
    </xf>
    <xf borderId="7" fillId="0" fontId="7" numFmtId="0" xfId="0" applyAlignment="1" applyBorder="1" applyFont="1">
      <alignment horizontal="left" readingOrder="0" shrinkToFit="0" vertical="top" wrapText="1"/>
    </xf>
    <xf borderId="9" fillId="0" fontId="7" numFmtId="164" xfId="0" applyAlignment="1" applyBorder="1" applyFont="1" applyNumberFormat="1">
      <alignment horizontal="left" readingOrder="0" vertical="center"/>
    </xf>
    <xf borderId="7" fillId="0" fontId="7" numFmtId="0" xfId="0" applyAlignment="1" applyBorder="1" applyFont="1">
      <alignment horizontal="left" readingOrder="0" shrinkToFit="0" vertical="center" wrapText="1"/>
    </xf>
    <xf borderId="7" fillId="0" fontId="7" numFmtId="0" xfId="0" applyAlignment="1" applyBorder="1" applyFont="1">
      <alignment horizontal="left" readingOrder="0" shrinkToFit="0" wrapText="1"/>
    </xf>
    <xf borderId="7" fillId="0" fontId="7" numFmtId="0" xfId="0" applyAlignment="1" applyBorder="1" applyFont="1">
      <alignment horizontal="left" readingOrder="0"/>
    </xf>
    <xf borderId="7" fillId="0" fontId="8" numFmtId="0" xfId="0" applyAlignment="1" applyBorder="1" applyFont="1">
      <alignment horizontal="left" readingOrder="0" shrinkToFit="0" vertical="center" wrapText="1"/>
    </xf>
    <xf borderId="7" fillId="0" fontId="9" numFmtId="0" xfId="0" applyAlignment="1" applyBorder="1" applyFont="1">
      <alignment horizontal="center" readingOrder="0" shrinkToFit="0" vertical="center" wrapText="1"/>
    </xf>
    <xf borderId="7" fillId="0" fontId="7" numFmtId="0" xfId="0" applyAlignment="1" applyBorder="1" applyFont="1">
      <alignment horizontal="left" readingOrder="0" vertical="center"/>
    </xf>
    <xf borderId="7" fillId="5" fontId="7" numFmtId="0" xfId="0" applyAlignment="1" applyBorder="1" applyFill="1" applyFont="1">
      <alignment horizontal="center" readingOrder="0" shrinkToFit="0" vertical="center" wrapText="1"/>
    </xf>
    <xf borderId="0" fillId="0" fontId="4" numFmtId="0" xfId="0" applyAlignment="1" applyFont="1">
      <alignment horizontal="right"/>
    </xf>
    <xf borderId="7" fillId="0" fontId="7" numFmtId="0" xfId="0" applyAlignment="1" applyBorder="1" applyFont="1">
      <alignment horizontal="left" readingOrder="0" shrinkToFit="0" vertical="center" wrapText="1"/>
    </xf>
    <xf borderId="7" fillId="0" fontId="7" numFmtId="0" xfId="0" applyAlignment="1" applyBorder="1" applyFont="1">
      <alignment horizontal="center" readingOrder="0" shrinkToFit="0" wrapText="1"/>
    </xf>
    <xf borderId="7" fillId="0" fontId="10" numFmtId="0" xfId="0" applyAlignment="1" applyBorder="1" applyFont="1">
      <alignment readingOrder="0" shrinkToFit="0" wrapText="1"/>
    </xf>
    <xf borderId="7" fillId="0" fontId="10" numFmtId="0" xfId="0" applyAlignment="1" applyBorder="1" applyFont="1">
      <alignment vertical="bottom"/>
    </xf>
    <xf borderId="7" fillId="0" fontId="11" numFmtId="0" xfId="0" applyAlignment="1" applyBorder="1" applyFont="1">
      <alignment horizontal="left" readingOrder="0" shrinkToFit="0" vertical="center" wrapText="1"/>
    </xf>
    <xf borderId="0" fillId="0" fontId="4" numFmtId="0" xfId="0" applyAlignment="1" applyFont="1">
      <alignment vertical="top"/>
    </xf>
    <xf borderId="0" fillId="0" fontId="12" numFmtId="0" xfId="0" applyAlignment="1" applyFont="1">
      <alignment horizontal="center" readingOrder="0" vertical="center"/>
    </xf>
    <xf borderId="0" fillId="0" fontId="13" numFmtId="0" xfId="0" applyAlignment="1" applyFont="1">
      <alignment readingOrder="0" shrinkToFit="0" vertical="top" wrapText="1"/>
    </xf>
    <xf borderId="7" fillId="6" fontId="14" numFmtId="0" xfId="0" applyAlignment="1" applyBorder="1" applyFill="1" applyFont="1">
      <alignment readingOrder="0"/>
    </xf>
    <xf borderId="10" fillId="0" fontId="6" numFmtId="0" xfId="0" applyBorder="1" applyFont="1"/>
    <xf borderId="7" fillId="7" fontId="15" numFmtId="0" xfId="0" applyAlignment="1" applyBorder="1" applyFill="1" applyFont="1">
      <alignment horizontal="center" readingOrder="0"/>
    </xf>
    <xf borderId="0" fillId="0" fontId="16" numFmtId="0" xfId="0" applyAlignment="1" applyFont="1">
      <alignment readingOrder="0" vertical="center"/>
    </xf>
    <xf borderId="1" fillId="8" fontId="7" numFmtId="0" xfId="0" applyAlignment="1" applyBorder="1" applyFill="1" applyFont="1">
      <alignment readingOrder="0" vertical="center"/>
    </xf>
    <xf borderId="11" fillId="0" fontId="6" numFmtId="0" xfId="0" applyBorder="1" applyFont="1"/>
    <xf borderId="1" fillId="9" fontId="17" numFmtId="0" xfId="0" applyAlignment="1" applyBorder="1" applyFill="1" applyFont="1">
      <alignment horizontal="center" readingOrder="0" vertical="center"/>
    </xf>
    <xf borderId="12" fillId="0" fontId="6" numFmtId="0" xfId="0" applyBorder="1" applyFont="1"/>
    <xf borderId="13" fillId="0" fontId="6" numFmtId="0" xfId="0" applyBorder="1" applyFont="1"/>
    <xf borderId="14" fillId="0" fontId="6" numFmtId="0" xfId="0" applyBorder="1" applyFont="1"/>
    <xf borderId="0" fillId="0" fontId="5" numFmtId="0" xfId="0" applyAlignment="1" applyFont="1">
      <alignment readingOrder="0" vertical="center"/>
    </xf>
    <xf borderId="7" fillId="7" fontId="14" numFmtId="0" xfId="0" applyAlignment="1" applyBorder="1" applyFill="1" applyFont="1">
      <alignment horizontal="center" readingOrder="0"/>
    </xf>
    <xf borderId="1" fillId="10" fontId="18" numFmtId="0" xfId="0" applyAlignment="1" applyBorder="1" applyFill="1" applyFont="1">
      <alignment readingOrder="0" vertical="center"/>
    </xf>
    <xf borderId="1" fillId="11" fontId="17" numFmtId="9" xfId="0" applyAlignment="1" applyBorder="1" applyFill="1" applyFont="1" applyNumberFormat="1">
      <alignment horizontal="center" vertical="center"/>
    </xf>
    <xf borderId="7" fillId="12" fontId="19" numFmtId="0" xfId="0" applyAlignment="1" applyBorder="1" applyFill="1" applyFont="1">
      <alignment readingOrder="0"/>
    </xf>
    <xf borderId="7" fillId="12" fontId="19" numFmtId="0" xfId="0" applyAlignment="1" applyBorder="1" applyFill="1" applyFont="1">
      <alignment horizontal="center" readingOrder="0"/>
    </xf>
    <xf borderId="7" fillId="13" fontId="20" numFmtId="0" xfId="0" applyAlignment="1" applyBorder="1" applyFill="1" applyFont="1">
      <alignment horizontal="center" readingOrder="0"/>
    </xf>
    <xf borderId="1" fillId="14" fontId="21" numFmtId="0" xfId="0" applyAlignment="1" applyBorder="1" applyFill="1" applyFont="1">
      <alignment horizontal="center" readingOrder="0" vertical="center"/>
    </xf>
    <xf borderId="1" fillId="14" fontId="21" numFmtId="164" xfId="0" applyAlignment="1" applyBorder="1" applyFill="1" applyFont="1" applyNumberFormat="1">
      <alignment horizontal="center" readingOrder="0" vertical="center"/>
    </xf>
    <xf borderId="7" fillId="13" fontId="22" numFmtId="0" xfId="0" applyAlignment="1" applyBorder="1" applyFill="1" applyFont="1">
      <alignment readingOrder="0"/>
    </xf>
    <xf borderId="1" fillId="0" fontId="7" numFmtId="0" xfId="0" applyAlignment="1" applyBorder="1" applyFont="1">
      <alignment readingOrder="0" shrinkToFit="0" vertical="top" wrapText="1"/>
    </xf>
    <xf borderId="1" fillId="0" fontId="23" numFmtId="0" xfId="0" applyAlignment="1" applyBorder="1" applyFont="1">
      <alignment horizontal="center" readingOrder="0" shrinkToFit="0" vertical="center" wrapText="1"/>
    </xf>
    <xf borderId="1" fillId="0" fontId="24" numFmtId="0" xfId="0" applyAlignment="1" applyBorder="1" applyFont="1">
      <alignment readingOrder="0" vertical="center"/>
    </xf>
    <xf borderId="1" fillId="15" fontId="5" numFmtId="0" xfId="0" applyAlignment="1" applyBorder="1" applyFill="1" applyFont="1">
      <alignment readingOrder="0" vertical="center"/>
    </xf>
    <xf borderId="3" fillId="11" fontId="24" numFmtId="0" xfId="0" applyAlignment="1" applyBorder="1" applyFill="1" applyFont="1">
      <alignment horizontal="center" readingOrder="0" vertical="center"/>
    </xf>
    <xf borderId="1" fillId="13" fontId="5" numFmtId="0" xfId="0" applyAlignment="1" applyBorder="1" applyFill="1" applyFont="1">
      <alignment readingOrder="0" vertical="center"/>
    </xf>
    <xf borderId="3" fillId="2" fontId="24" numFmtId="0" xfId="0" applyAlignment="1" applyBorder="1" applyFill="1" applyFont="1">
      <alignment horizontal="center" readingOrder="0" vertical="center"/>
    </xf>
    <xf borderId="1" fillId="16" fontId="5" numFmtId="0" xfId="0" applyAlignment="1" applyBorder="1" applyFill="1" applyFont="1">
      <alignment horizontal="center" readingOrder="0" vertical="center"/>
    </xf>
    <xf borderId="3" fillId="4" fontId="24" numFmtId="0" xfId="0" applyAlignment="1" applyBorder="1" applyFill="1" applyFont="1">
      <alignment horizontal="center" readingOrder="0" vertical="center"/>
    </xf>
    <xf borderId="1" fillId="2" fontId="5" numFmtId="0" xfId="0" applyAlignment="1" applyBorder="1" applyFill="1" applyFont="1">
      <alignment readingOrder="0" vertical="center"/>
    </xf>
    <xf borderId="1" fillId="17" fontId="5" numFmtId="0" xfId="0" applyAlignment="1" applyBorder="1" applyFill="1" applyFont="1">
      <alignment horizontal="center" readingOrder="0" vertical="center"/>
    </xf>
    <xf borderId="1" fillId="18" fontId="25" numFmtId="0" xfId="0" applyAlignment="1" applyBorder="1" applyFill="1" applyFont="1">
      <alignment readingOrder="0" vertical="center"/>
    </xf>
    <xf borderId="7" fillId="0" fontId="26" numFmtId="0" xfId="0" applyAlignment="1" applyBorder="1" applyFont="1">
      <alignment horizontal="center" readingOrder="0" shrinkToFit="0" vertical="center" wrapText="1"/>
    </xf>
    <xf borderId="1" fillId="19" fontId="5" numFmtId="0" xfId="0" applyAlignment="1" applyBorder="1" applyFill="1" applyFont="1">
      <alignment horizontal="center" readingOrder="0" vertical="center"/>
    </xf>
    <xf borderId="1" fillId="20" fontId="5" numFmtId="0" xfId="0" applyAlignment="1" applyBorder="1" applyFill="1" applyFont="1">
      <alignment readingOrder="0" vertical="center"/>
    </xf>
    <xf borderId="1" fillId="21" fontId="5" numFmtId="0" xfId="0" applyAlignment="1" applyBorder="1" applyFill="1" applyFont="1">
      <alignment horizontal="center" readingOrder="0" vertical="center"/>
    </xf>
    <xf borderId="0" fillId="0" fontId="4" numFmtId="0" xfId="0" applyAlignment="1" applyFont="1">
      <alignment vertical="center"/>
    </xf>
    <xf borderId="1" fillId="7" fontId="5" numFmtId="0" xfId="0" applyAlignment="1" applyBorder="1" applyFill="1" applyFont="1">
      <alignment readingOrder="0" vertical="center"/>
    </xf>
    <xf borderId="1" fillId="8" fontId="5" numFmtId="0" xfId="0" applyAlignment="1" applyBorder="1" applyFill="1" applyFont="1">
      <alignment readingOrder="0" vertical="center"/>
    </xf>
    <xf borderId="3" fillId="22" fontId="5" numFmtId="0" xfId="0" applyAlignment="1" applyBorder="1" applyFill="1" applyFont="1">
      <alignment readingOrder="0" vertical="center"/>
    </xf>
    <xf borderId="3" fillId="22" fontId="5" numFmtId="0" xfId="0" applyAlignment="1" applyBorder="1" applyFill="1" applyFont="1">
      <alignment horizontal="center" readingOrder="0" vertical="center"/>
    </xf>
    <xf borderId="1" fillId="23" fontId="5" numFmtId="0" xfId="0" applyAlignment="1" applyBorder="1" applyFill="1" applyFont="1">
      <alignment horizontal="center" readingOrder="0" vertical="center"/>
    </xf>
    <xf borderId="7" fillId="0" fontId="4" numFmtId="0" xfId="0" applyAlignment="1" applyBorder="1" applyFont="1">
      <alignment readingOrder="0"/>
    </xf>
    <xf borderId="9" fillId="0" fontId="4" numFmtId="0" xfId="0" applyBorder="1" applyFont="1"/>
    <xf borderId="3" fillId="24" fontId="27" numFmtId="0" xfId="0" applyAlignment="1" applyBorder="1" applyFill="1" applyFont="1">
      <alignment horizontal="center" vertical="center"/>
    </xf>
    <xf borderId="1" fillId="25" fontId="5" numFmtId="0" xfId="0" applyAlignment="1" applyBorder="1" applyFill="1" applyFont="1">
      <alignment horizontal="center" readingOrder="0" vertical="center"/>
    </xf>
    <xf borderId="15" fillId="0" fontId="6" numFmtId="0" xfId="0" applyBorder="1" applyFont="1"/>
    <xf borderId="7" fillId="0" fontId="4" numFmtId="0" xfId="0" applyBorder="1" applyFont="1"/>
    <xf borderId="1" fillId="26" fontId="5" numFmtId="0" xfId="0" applyAlignment="1" applyBorder="1" applyFill="1" applyFont="1">
      <alignment horizontal="center" readingOrder="0" vertical="center"/>
    </xf>
    <xf borderId="1" fillId="27" fontId="5" numFmtId="0" xfId="0" applyAlignment="1" applyBorder="1" applyFill="1" applyFont="1">
      <alignment horizontal="center" readingOrder="0" vertical="center"/>
    </xf>
    <xf borderId="1" fillId="28" fontId="5" numFmtId="0" xfId="0" applyAlignment="1" applyBorder="1" applyFill="1" applyFont="1">
      <alignment horizontal="center" readingOrder="0" vertical="center"/>
    </xf>
    <xf borderId="0" fillId="0" fontId="4" numFmtId="0" xfId="0" applyFont="1"/>
    <xf borderId="1" fillId="29" fontId="5" numFmtId="0" xfId="0" applyAlignment="1" applyBorder="1" applyFill="1" applyFont="1">
      <alignment horizontal="center" readingOrder="0" vertical="center"/>
    </xf>
    <xf borderId="7" fillId="0" fontId="7" numFmtId="0" xfId="0" applyAlignment="1" applyBorder="1" applyFont="1">
      <alignment horizontal="right" readingOrder="0"/>
    </xf>
  </cellXfs>
  <cellStyles count="1">
    <cellStyle xfId="0" name="Normal" builtinId="0"/>
  </cellStyles>
  <dxfs count="1">
    <dxf>
      <font/>
      <fill>
        <patternFill patternType="solid">
          <fgColor theme="0"/>
          <bgColor theme="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C6DBE1"/>
              </a:solidFill>
            </c:spPr>
          </c:dPt>
          <c:dPt>
            <c:idx val="1"/>
            <c:spPr>
              <a:solidFill>
                <a:srgbClr val="FFE5A0"/>
              </a:solidFill>
            </c:spPr>
          </c:dPt>
          <c:dPt>
            <c:idx val="2"/>
            <c:spPr>
              <a:solidFill>
                <a:srgbClr val="11734B"/>
              </a:solidFill>
            </c:spPr>
          </c:dPt>
          <c:dPt>
            <c:idx val="3"/>
            <c:spPr>
              <a:solidFill>
                <a:srgbClr val="E6CFF2"/>
              </a:solidFill>
            </c:spPr>
          </c:dPt>
          <c:dPt>
            <c:idx val="4"/>
            <c:spPr>
              <a:solidFill>
                <a:srgbClr val="5A3286"/>
              </a:solidFill>
            </c:spPr>
          </c:dPt>
          <c:dPt>
            <c:idx val="5"/>
            <c:spPr>
              <a:solidFill>
                <a:srgbClr val="0A53A8"/>
              </a:solidFill>
            </c:spPr>
          </c:dPt>
          <c:dPt>
            <c:idx val="6"/>
            <c:spPr>
              <a:solidFill>
                <a:srgbClr val="E8EAED"/>
              </a:solidFill>
            </c:spPr>
          </c:dPt>
          <c:dPt>
            <c:idx val="7"/>
          </c:dPt>
          <c:dPt>
            <c:idx val="8"/>
          </c:dPt>
          <c:dPt>
            <c:idx val="9"/>
          </c:dPt>
          <c:dPt>
            <c:idx val="10"/>
          </c:dPt>
          <c:dPt>
            <c:idx val="11"/>
          </c:dPt>
          <c:dPt>
            <c:idx val="12"/>
          </c:dPt>
          <c:dPt>
            <c:idx val="13"/>
          </c:dPt>
          <c:dLbls>
            <c:showLegendKey val="0"/>
            <c:showVal val="0"/>
            <c:showCatName val="0"/>
            <c:showSerName val="0"/>
            <c:showPercent val="0"/>
            <c:showBubbleSize val="0"/>
            <c:showLeaderLines val="1"/>
          </c:dLbls>
          <c:cat>
            <c:strRef>
              <c:f>'Dashboard Summary'!$A$45:$A$58</c:f>
            </c:strRef>
          </c:cat>
          <c:val>
            <c:numRef>
              <c:f>'Dashboard Summary'!$C$45:$C$58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chemeClr val="accent6"/>
              </a:solidFill>
            </c:spPr>
          </c:dPt>
          <c:dPt>
            <c:idx val="1"/>
            <c:spPr>
              <a:solidFill>
                <a:srgbClr val="FFCFC9"/>
              </a:solidFill>
            </c:spPr>
          </c:dPt>
          <c:dPt>
            <c:idx val="2"/>
            <c:spPr>
              <a:solidFill>
                <a:schemeClr val="accent2"/>
              </a:solidFill>
            </c:spPr>
          </c:dPt>
          <c:dPt>
            <c:idx val="3"/>
          </c:dPt>
          <c:dPt>
            <c:idx val="4"/>
          </c:dPt>
          <c:dPt>
            <c:idx val="5"/>
          </c:dPt>
          <c:dLbls>
            <c:showLegendKey val="0"/>
            <c:showVal val="0"/>
            <c:showCatName val="0"/>
            <c:showSerName val="0"/>
            <c:showPercent val="0"/>
            <c:showBubbleSize val="0"/>
            <c:showLeaderLines val="1"/>
          </c:dLbls>
          <c:cat>
            <c:strRef>
              <c:f>'Dashboard Summary'!$A$59:$A$64</c:f>
            </c:strRef>
          </c:cat>
          <c:val>
            <c:numRef>
              <c:f>'Dashboard Summary'!$C$59:$C$64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C6DBE1"/>
              </a:solidFill>
            </c:spPr>
          </c:dPt>
          <c:dPt>
            <c:idx val="1"/>
            <c:spPr>
              <a:solidFill>
                <a:srgbClr val="FFE5A0"/>
              </a:solidFill>
            </c:spPr>
          </c:dPt>
          <c:dPt>
            <c:idx val="2"/>
            <c:spPr>
              <a:solidFill>
                <a:srgbClr val="11734B"/>
              </a:solidFill>
            </c:spPr>
          </c:dPt>
          <c:dPt>
            <c:idx val="3"/>
            <c:spPr>
              <a:solidFill>
                <a:srgbClr val="E6CFF2"/>
              </a:solidFill>
            </c:spPr>
          </c:dPt>
          <c:dPt>
            <c:idx val="4"/>
            <c:spPr>
              <a:solidFill>
                <a:srgbClr val="5A3286"/>
              </a:solidFill>
            </c:spPr>
          </c:dPt>
          <c:dPt>
            <c:idx val="5"/>
            <c:spPr>
              <a:solidFill>
                <a:srgbClr val="0A53A8"/>
              </a:solidFill>
            </c:spPr>
          </c:dPt>
          <c:dLbls>
            <c:showLegendKey val="0"/>
            <c:showVal val="0"/>
            <c:showCatName val="0"/>
            <c:showSerName val="0"/>
            <c:showPercent val="0"/>
            <c:showBubbleSize val="0"/>
            <c:showLeaderLines val="1"/>
          </c:dLbls>
          <c:cat>
            <c:strRef>
              <c:f>'Dashboard Summary'!$J$54:$J$59</c:f>
            </c:strRef>
          </c:cat>
          <c:val>
            <c:numRef>
              <c:f>'Dashboard Summary'!$L$54:$L$59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942975</xdr:colOff>
      <xdr:row>10</xdr:row>
      <xdr:rowOff>161925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942975</xdr:colOff>
      <xdr:row>29</xdr:row>
      <xdr:rowOff>209550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942975</xdr:colOff>
      <xdr:row>49</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419100</xdr:colOff>
      <xdr:row>17</xdr:row>
      <xdr:rowOff>9525</xdr:rowOff>
    </xdr:from>
    <xdr:ext cx="371475" cy="333375"/>
    <xdr:sp>
      <xdr:nvSpPr>
        <xdr:cNvPr id="3" name="Shape 3"/>
        <xdr:cNvSpPr/>
      </xdr:nvSpPr>
      <xdr:spPr>
        <a:xfrm>
          <a:off x="3875825" y="1084425"/>
          <a:ext cx="351300" cy="311400"/>
        </a:xfrm>
        <a:prstGeom prst="rect">
          <a:avLst/>
        </a:prstGeom>
        <a:solidFill>
          <a:srgbClr val="FFE5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12</xdr:col>
      <xdr:colOff>419100</xdr:colOff>
      <xdr:row>19</xdr:row>
      <xdr:rowOff>19050</xdr:rowOff>
    </xdr:from>
    <xdr:ext cx="371475" cy="333375"/>
    <xdr:sp>
      <xdr:nvSpPr>
        <xdr:cNvPr id="4" name="Shape 4"/>
        <xdr:cNvSpPr/>
      </xdr:nvSpPr>
      <xdr:spPr>
        <a:xfrm>
          <a:off x="3875825" y="1084425"/>
          <a:ext cx="351300" cy="311400"/>
        </a:xfrm>
        <a:prstGeom prst="rect">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12</xdr:col>
      <xdr:colOff>419100</xdr:colOff>
      <xdr:row>26</xdr:row>
      <xdr:rowOff>209550</xdr:rowOff>
    </xdr:from>
    <xdr:ext cx="371475" cy="333375"/>
    <xdr:sp>
      <xdr:nvSpPr>
        <xdr:cNvPr id="5" name="Shape 5"/>
        <xdr:cNvSpPr/>
      </xdr:nvSpPr>
      <xdr:spPr>
        <a:xfrm>
          <a:off x="3875825" y="1084425"/>
          <a:ext cx="351300" cy="3114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12</xdr:col>
      <xdr:colOff>361950</xdr:colOff>
      <xdr:row>34</xdr:row>
      <xdr:rowOff>19050</xdr:rowOff>
    </xdr:from>
    <xdr:ext cx="371475" cy="333375"/>
    <xdr:sp>
      <xdr:nvSpPr>
        <xdr:cNvPr id="6" name="Shape 6"/>
        <xdr:cNvSpPr/>
      </xdr:nvSpPr>
      <xdr:spPr>
        <a:xfrm>
          <a:off x="3875825" y="1084425"/>
          <a:ext cx="351300" cy="3114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12</xdr:col>
      <xdr:colOff>361950</xdr:colOff>
      <xdr:row>36</xdr:row>
      <xdr:rowOff>9525</xdr:rowOff>
    </xdr:from>
    <xdr:ext cx="371475" cy="333375"/>
    <xdr:sp>
      <xdr:nvSpPr>
        <xdr:cNvPr id="7" name="Shape 7"/>
        <xdr:cNvSpPr/>
      </xdr:nvSpPr>
      <xdr:spPr>
        <a:xfrm>
          <a:off x="3875825" y="1084425"/>
          <a:ext cx="351300" cy="311400"/>
        </a:xfrm>
        <a:prstGeom prst="rect">
          <a:avLst/>
        </a:prstGeom>
        <a:solidFill>
          <a:srgbClr val="EA99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12</xdr:col>
      <xdr:colOff>361950</xdr:colOff>
      <xdr:row>37</xdr:row>
      <xdr:rowOff>200025</xdr:rowOff>
    </xdr:from>
    <xdr:ext cx="371475" cy="333375"/>
    <xdr:sp>
      <xdr:nvSpPr>
        <xdr:cNvPr id="8" name="Shape 8"/>
        <xdr:cNvSpPr/>
      </xdr:nvSpPr>
      <xdr:spPr>
        <a:xfrm>
          <a:off x="3875825" y="1084425"/>
          <a:ext cx="351300" cy="311400"/>
        </a:xfrm>
        <a:prstGeom prst="rect">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12</xdr:col>
      <xdr:colOff>419100</xdr:colOff>
      <xdr:row>15</xdr:row>
      <xdr:rowOff>57150</xdr:rowOff>
    </xdr:from>
    <xdr:ext cx="371475" cy="333375"/>
    <xdr:sp>
      <xdr:nvSpPr>
        <xdr:cNvPr id="9" name="Shape 9"/>
        <xdr:cNvSpPr/>
      </xdr:nvSpPr>
      <xdr:spPr>
        <a:xfrm>
          <a:off x="3875825" y="1084425"/>
          <a:ext cx="351300" cy="311400"/>
        </a:xfrm>
        <a:prstGeom prst="rect">
          <a:avLst/>
        </a:prstGeom>
        <a:solidFill>
          <a:srgbClr val="C6DBE1"/>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12</xdr:col>
      <xdr:colOff>419100</xdr:colOff>
      <xdr:row>21</xdr:row>
      <xdr:rowOff>38100</xdr:rowOff>
    </xdr:from>
    <xdr:ext cx="371475" cy="333375"/>
    <xdr:sp>
      <xdr:nvSpPr>
        <xdr:cNvPr id="10" name="Shape 10"/>
        <xdr:cNvSpPr/>
      </xdr:nvSpPr>
      <xdr:spPr>
        <a:xfrm>
          <a:off x="3875825" y="1084425"/>
          <a:ext cx="351300" cy="311400"/>
        </a:xfrm>
        <a:prstGeom prst="rect">
          <a:avLst/>
        </a:prstGeom>
        <a:solidFill>
          <a:srgbClr val="E6CFF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12</xdr:col>
      <xdr:colOff>419100</xdr:colOff>
      <xdr:row>23</xdr:row>
      <xdr:rowOff>57150</xdr:rowOff>
    </xdr:from>
    <xdr:ext cx="371475" cy="333375"/>
    <xdr:sp>
      <xdr:nvSpPr>
        <xdr:cNvPr id="11" name="Shape 11"/>
        <xdr:cNvSpPr/>
      </xdr:nvSpPr>
      <xdr:spPr>
        <a:xfrm>
          <a:off x="3875825" y="1084425"/>
          <a:ext cx="351300" cy="311400"/>
        </a:xfrm>
        <a:prstGeom prst="rect">
          <a:avLst/>
        </a:prstGeom>
        <a:solidFill>
          <a:srgbClr val="5A328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12</xdr:col>
      <xdr:colOff>419100</xdr:colOff>
      <xdr:row>24</xdr:row>
      <xdr:rowOff>200025</xdr:rowOff>
    </xdr:from>
    <xdr:ext cx="371475" cy="333375"/>
    <xdr:sp>
      <xdr:nvSpPr>
        <xdr:cNvPr id="12" name="Shape 12"/>
        <xdr:cNvSpPr/>
      </xdr:nvSpPr>
      <xdr:spPr>
        <a:xfrm>
          <a:off x="3875825" y="1084425"/>
          <a:ext cx="351300" cy="311400"/>
        </a:xfrm>
        <a:prstGeom prst="rect">
          <a:avLst/>
        </a:prstGeom>
        <a:solidFill>
          <a:srgbClr val="0A53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ensource-demo.orangehrmlive.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jam.dev/c/c661fa25-40a7-4197-9dea-6585e6f8abc3" TargetMode="External"/><Relationship Id="rId11" Type="http://schemas.openxmlformats.org/officeDocument/2006/relationships/hyperlink" Target="https://jam.dev/c/5df69bb5-2daf-479c-928c-ef6616c66b4d" TargetMode="External"/><Relationship Id="rId22" Type="http://schemas.openxmlformats.org/officeDocument/2006/relationships/hyperlink" Target="https://jam.dev/c/170f983c-35f5-471b-ac26-40273896aa33" TargetMode="External"/><Relationship Id="rId10" Type="http://schemas.openxmlformats.org/officeDocument/2006/relationships/hyperlink" Target="https://jam.dev/c/81b44e0b-446e-4ff6-9603-5e92a1825a4e" TargetMode="External"/><Relationship Id="rId21" Type="http://schemas.openxmlformats.org/officeDocument/2006/relationships/hyperlink" Target="https://jam.dev/c/36e5ced9-ecef-41b0-ad5a-e6f1634901e9" TargetMode="External"/><Relationship Id="rId13" Type="http://schemas.openxmlformats.org/officeDocument/2006/relationships/hyperlink" Target="https://jam.dev/c/e16e70d6-c808-4f69-9d41-4565dfdf421c" TargetMode="External"/><Relationship Id="rId12" Type="http://schemas.openxmlformats.org/officeDocument/2006/relationships/hyperlink" Target="https://jam.dev/c/3465251d-c12b-4a89-899b-118cbe338983" TargetMode="External"/><Relationship Id="rId23" Type="http://schemas.openxmlformats.org/officeDocument/2006/relationships/drawing" Target="../drawings/drawing2.xml"/><Relationship Id="rId1" Type="http://schemas.openxmlformats.org/officeDocument/2006/relationships/hyperlink" Target="https://jam.dev/c/5b78b348-0787-4c95-9949-3a906b0f08e7" TargetMode="External"/><Relationship Id="rId2" Type="http://schemas.openxmlformats.org/officeDocument/2006/relationships/hyperlink" Target="https://jam.dev/c/0d19c8e8-9410-46eb-8576-b38b5b3006e7" TargetMode="External"/><Relationship Id="rId3" Type="http://schemas.openxmlformats.org/officeDocument/2006/relationships/hyperlink" Target="https://jam.dev/c/500dde84-b270-45b9-860a-b1c3d282fd2a" TargetMode="External"/><Relationship Id="rId4" Type="http://schemas.openxmlformats.org/officeDocument/2006/relationships/hyperlink" Target="https://jam.dev/c/5af2fedd-5910-4d67-a8ef-36981366c3f6" TargetMode="External"/><Relationship Id="rId9" Type="http://schemas.openxmlformats.org/officeDocument/2006/relationships/hyperlink" Target="https://jam.dev/c/27417517-98fb-4449-9001-1ab857adeda9" TargetMode="External"/><Relationship Id="rId15" Type="http://schemas.openxmlformats.org/officeDocument/2006/relationships/hyperlink" Target="https://jam.dev/c/a7d2325f-81e2-4b33-8368-890aa9cd2c98" TargetMode="External"/><Relationship Id="rId14" Type="http://schemas.openxmlformats.org/officeDocument/2006/relationships/hyperlink" Target="https://jam.dev/c/9e7fe091-f8f5-4ff3-8416-106cabc0e006" TargetMode="External"/><Relationship Id="rId17" Type="http://schemas.openxmlformats.org/officeDocument/2006/relationships/hyperlink" Target="https://jam.dev/c/899ce2e5-c57b-4e74-89ef-393087089ea9" TargetMode="External"/><Relationship Id="rId16" Type="http://schemas.openxmlformats.org/officeDocument/2006/relationships/hyperlink" Target="https://jam.dev/c/8fd33929-67ff-4d46-b0c6-50d9a8865503" TargetMode="External"/><Relationship Id="rId5" Type="http://schemas.openxmlformats.org/officeDocument/2006/relationships/hyperlink" Target="https://jam.dev/c/6e85b0b1-0882-4797-97a7-03eb6736ca8b" TargetMode="External"/><Relationship Id="rId19" Type="http://schemas.openxmlformats.org/officeDocument/2006/relationships/hyperlink" Target="https://jam.dev/c/468c4113-50b0-49b0-b933-ea6f7c635950" TargetMode="External"/><Relationship Id="rId6" Type="http://schemas.openxmlformats.org/officeDocument/2006/relationships/hyperlink" Target="https://jam.dev/c/610029ce-e1bb-40c0-ae0e-800947f8054b" TargetMode="External"/><Relationship Id="rId18" Type="http://schemas.openxmlformats.org/officeDocument/2006/relationships/hyperlink" Target="https://jam.dev/c/bf03e451-b0d1-4ac1-a311-e1b05b6d65a1" TargetMode="External"/><Relationship Id="rId7" Type="http://schemas.openxmlformats.org/officeDocument/2006/relationships/hyperlink" Target="https://jam.dev/c/5ca0ca88-809e-4faf-a14a-729479be891c" TargetMode="External"/><Relationship Id="rId8" Type="http://schemas.openxmlformats.org/officeDocument/2006/relationships/hyperlink" Target="https://jam.dev/c/6e42baa1-d5b0-47e1-9985-1422c6548018"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jam.dev/c/04a7a5cd-dfa0-4930-860d-ff29fa6dc25a" TargetMode="External"/><Relationship Id="rId10" Type="http://schemas.openxmlformats.org/officeDocument/2006/relationships/hyperlink" Target="https://jam.dev/c/ee5fd218-0613-4ad0-bd38-2da7b511bf2e" TargetMode="External"/><Relationship Id="rId13" Type="http://schemas.openxmlformats.org/officeDocument/2006/relationships/hyperlink" Target="https://jam.dev/c/ef9ffe59-56dc-4555-a50b-e84b2c5c0cb5" TargetMode="External"/><Relationship Id="rId12" Type="http://schemas.openxmlformats.org/officeDocument/2006/relationships/hyperlink" Target="https://jam.dev/c/201eed6b-dc85-448e-9bfb-916f8eb09e25" TargetMode="External"/><Relationship Id="rId1" Type="http://schemas.openxmlformats.org/officeDocument/2006/relationships/hyperlink" Target="https://jam.dev/c/799ff439-2b6b-4507-8d21-f13baf31f68f" TargetMode="External"/><Relationship Id="rId2" Type="http://schemas.openxmlformats.org/officeDocument/2006/relationships/hyperlink" Target="https://jam.dev/c/24fd3b9e-efdb-41ba-b994-5270ecd3f119" TargetMode="External"/><Relationship Id="rId3" Type="http://schemas.openxmlformats.org/officeDocument/2006/relationships/hyperlink" Target="https://jam.dev/c/b96e69fc-41f3-4fb7-8a49-d96b4a7efad0" TargetMode="External"/><Relationship Id="rId4" Type="http://schemas.openxmlformats.org/officeDocument/2006/relationships/hyperlink" Target="https://jam.dev/c/ee9137e3-8325-4073-b9ac-449f4c99eace" TargetMode="External"/><Relationship Id="rId9" Type="http://schemas.openxmlformats.org/officeDocument/2006/relationships/hyperlink" Target="https://jam.dev/c/c2528fc3-8db5-441a-8e38-218a17656440" TargetMode="External"/><Relationship Id="rId15" Type="http://schemas.openxmlformats.org/officeDocument/2006/relationships/hyperlink" Target="https://jam.dev/c/e8e9ac49-fc9d-4c8f-b03a-51be1bfa71e7" TargetMode="External"/><Relationship Id="rId14" Type="http://schemas.openxmlformats.org/officeDocument/2006/relationships/hyperlink" Target="https://jam.dev/c/8348ff7e-9de5-439b-914d-5f733ffde00b" TargetMode="External"/><Relationship Id="rId17" Type="http://schemas.openxmlformats.org/officeDocument/2006/relationships/hyperlink" Target="https://jam.dev/c/824fc2e5-9514-480d-904f-33d9f260fd87" TargetMode="External"/><Relationship Id="rId16" Type="http://schemas.openxmlformats.org/officeDocument/2006/relationships/hyperlink" Target="https://jam.dev/c/e74930c9-6a0c-4599-9264-6acc987a8279" TargetMode="External"/><Relationship Id="rId5" Type="http://schemas.openxmlformats.org/officeDocument/2006/relationships/hyperlink" Target="https://jam.dev/c/e25c709b-def4-4c25-bcec-565961f58af4" TargetMode="External"/><Relationship Id="rId6" Type="http://schemas.openxmlformats.org/officeDocument/2006/relationships/hyperlink" Target="https://jam.dev/c/1d412088-0e2e-4038-8664-b3fd0fb9efbf" TargetMode="External"/><Relationship Id="rId18" Type="http://schemas.openxmlformats.org/officeDocument/2006/relationships/drawing" Target="../drawings/drawing3.xml"/><Relationship Id="rId7" Type="http://schemas.openxmlformats.org/officeDocument/2006/relationships/hyperlink" Target="https://jam.dev/c/8300a399-eed2-48bf-a71d-89124fd509f2" TargetMode="External"/><Relationship Id="rId8" Type="http://schemas.openxmlformats.org/officeDocument/2006/relationships/hyperlink" Target="https://jam.dev/c/3296fa39-c244-4129-ad5f-6b47e851f25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jam.dev/c/7e9dac58-9fd0-4493-9f32-86128121e56e" TargetMode="External"/><Relationship Id="rId2" Type="http://schemas.openxmlformats.org/officeDocument/2006/relationships/hyperlink" Target="https://jam.dev/c/3e013063-0867-417a-a19c-586c647dac22" TargetMode="External"/><Relationship Id="rId3" Type="http://schemas.openxmlformats.org/officeDocument/2006/relationships/hyperlink" Target="https://jam.dev/c/5ec5f315-fc0c-4aad-b453-cd0aec1392aa"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82.88"/>
    <col customWidth="1" min="12" max="12" width="14.75"/>
  </cols>
  <sheetData>
    <row r="1">
      <c r="A1" s="35" t="s">
        <v>203</v>
      </c>
    </row>
    <row r="7">
      <c r="A7" s="36" t="s">
        <v>204</v>
      </c>
    </row>
    <row r="12">
      <c r="A12" s="37" t="s">
        <v>206</v>
      </c>
      <c r="B12" s="38"/>
      <c r="C12" s="38"/>
      <c r="D12" s="16"/>
      <c r="E12" s="39" t="s">
        <v>212</v>
      </c>
      <c r="F12" s="16"/>
      <c r="J12" s="40" t="s">
        <v>14</v>
      </c>
    </row>
    <row r="13">
      <c r="A13" s="41" t="s">
        <v>215</v>
      </c>
      <c r="B13" s="42"/>
      <c r="C13" s="42"/>
      <c r="D13" s="6"/>
      <c r="E13" s="43">
        <f>SUM(C43)</f>
        <v>14</v>
      </c>
      <c r="F13" s="6"/>
    </row>
    <row r="14">
      <c r="A14" s="44"/>
      <c r="D14" s="45"/>
      <c r="E14" s="44"/>
      <c r="F14" s="45"/>
    </row>
    <row r="15">
      <c r="A15" s="44"/>
      <c r="D15" s="45"/>
      <c r="E15" s="44"/>
      <c r="F15" s="45"/>
    </row>
    <row r="16">
      <c r="A16" s="11"/>
      <c r="B16" s="46"/>
      <c r="C16" s="46"/>
      <c r="D16" s="13"/>
      <c r="E16" s="11"/>
      <c r="F16" s="13"/>
      <c r="J16" s="47" t="s">
        <v>95</v>
      </c>
    </row>
    <row r="17">
      <c r="A17" s="37" t="s">
        <v>225</v>
      </c>
      <c r="B17" s="38"/>
      <c r="C17" s="38"/>
      <c r="D17" s="16"/>
      <c r="E17" s="48" t="s">
        <v>228</v>
      </c>
      <c r="F17" s="16"/>
    </row>
    <row r="18">
      <c r="A18" s="41" t="s">
        <v>231</v>
      </c>
      <c r="B18" s="42"/>
      <c r="C18" s="42"/>
      <c r="D18" s="6"/>
      <c r="E18" s="43">
        <f>SUM(G43)</f>
        <v>39</v>
      </c>
      <c r="F18" s="6"/>
      <c r="J18" s="47" t="s">
        <v>40</v>
      </c>
    </row>
    <row r="19">
      <c r="A19" s="44"/>
      <c r="D19" s="45"/>
      <c r="E19" s="44"/>
      <c r="F19" s="45"/>
    </row>
    <row r="20">
      <c r="A20" s="44"/>
      <c r="D20" s="45"/>
      <c r="E20" s="44"/>
      <c r="F20" s="45"/>
      <c r="J20" s="47" t="s">
        <v>70</v>
      </c>
    </row>
    <row r="21">
      <c r="A21" s="11"/>
      <c r="B21" s="46"/>
      <c r="C21" s="46"/>
      <c r="D21" s="13"/>
      <c r="E21" s="11"/>
      <c r="F21" s="13"/>
    </row>
    <row r="22">
      <c r="A22" s="49" t="s">
        <v>236</v>
      </c>
      <c r="B22" s="42"/>
      <c r="C22" s="42"/>
      <c r="D22" s="6"/>
      <c r="E22" s="50">
        <f>(G43 / G45) * 100%</f>
        <v>1</v>
      </c>
      <c r="F22" s="6"/>
      <c r="J22" s="47" t="s">
        <v>245</v>
      </c>
    </row>
    <row r="23">
      <c r="A23" s="11"/>
      <c r="B23" s="46"/>
      <c r="C23" s="46"/>
      <c r="D23" s="13"/>
      <c r="E23" s="11"/>
      <c r="F23" s="13"/>
    </row>
    <row r="24">
      <c r="J24" s="47" t="s">
        <v>249</v>
      </c>
    </row>
    <row r="25">
      <c r="A25" s="51" t="s">
        <v>251</v>
      </c>
      <c r="B25" s="16"/>
      <c r="C25" s="52" t="s">
        <v>255</v>
      </c>
      <c r="D25" s="16"/>
      <c r="E25" s="53" t="s">
        <v>259</v>
      </c>
      <c r="F25" s="16"/>
      <c r="G25" s="53" t="s">
        <v>261</v>
      </c>
      <c r="H25" s="16"/>
    </row>
    <row r="26">
      <c r="A26" s="54" t="s">
        <v>45</v>
      </c>
      <c r="B26" s="6"/>
      <c r="C26" s="55">
        <v>46224.0</v>
      </c>
      <c r="D26" s="6"/>
      <c r="E26" s="55">
        <v>46224.0</v>
      </c>
      <c r="F26" s="6"/>
      <c r="G26" s="55">
        <v>46227.0</v>
      </c>
      <c r="H26" s="6"/>
      <c r="J26" s="47" t="s">
        <v>270</v>
      </c>
    </row>
    <row r="27">
      <c r="A27" s="44"/>
      <c r="B27" s="45"/>
      <c r="C27" s="44"/>
      <c r="D27" s="45"/>
      <c r="E27" s="44"/>
      <c r="F27" s="45"/>
      <c r="G27" s="44"/>
      <c r="H27" s="45"/>
    </row>
    <row r="28">
      <c r="A28" s="11"/>
      <c r="B28" s="13"/>
      <c r="C28" s="11"/>
      <c r="D28" s="13"/>
      <c r="E28" s="11"/>
      <c r="F28" s="13"/>
      <c r="G28" s="11"/>
      <c r="H28" s="13"/>
      <c r="J28" s="47" t="s">
        <v>273</v>
      </c>
    </row>
    <row r="31">
      <c r="A31" s="56" t="s">
        <v>276</v>
      </c>
      <c r="B31" s="38"/>
      <c r="C31" s="38"/>
      <c r="D31" s="38"/>
      <c r="E31" s="38"/>
      <c r="F31" s="16"/>
      <c r="G31" s="53" t="s">
        <v>281</v>
      </c>
      <c r="H31" s="16"/>
      <c r="J31" s="40" t="s">
        <v>16</v>
      </c>
    </row>
    <row r="32">
      <c r="A32" s="57" t="s">
        <v>284</v>
      </c>
      <c r="B32" s="42"/>
      <c r="C32" s="42"/>
      <c r="D32" s="42"/>
      <c r="E32" s="42"/>
      <c r="F32" s="6"/>
      <c r="G32" s="58" t="s">
        <v>287</v>
      </c>
      <c r="H32" s="6"/>
    </row>
    <row r="33">
      <c r="A33" s="44"/>
      <c r="F33" s="45"/>
      <c r="G33" s="44"/>
      <c r="H33" s="45"/>
    </row>
    <row r="34">
      <c r="A34" s="44"/>
      <c r="F34" s="45"/>
      <c r="G34" s="44"/>
      <c r="H34" s="45"/>
    </row>
    <row r="35">
      <c r="A35" s="44"/>
      <c r="F35" s="45"/>
      <c r="G35" s="44"/>
      <c r="H35" s="45"/>
      <c r="J35" s="47" t="s">
        <v>43</v>
      </c>
    </row>
    <row r="36">
      <c r="A36" s="11"/>
      <c r="B36" s="46"/>
      <c r="C36" s="46"/>
      <c r="D36" s="46"/>
      <c r="E36" s="46"/>
      <c r="F36" s="13"/>
      <c r="G36" s="11"/>
      <c r="H36" s="13"/>
    </row>
    <row r="37">
      <c r="J37" s="47" t="s">
        <v>72</v>
      </c>
    </row>
    <row r="38">
      <c r="A38" s="40" t="s">
        <v>301</v>
      </c>
    </row>
    <row r="39">
      <c r="J39" s="47" t="s">
        <v>115</v>
      </c>
    </row>
    <row r="41">
      <c r="A41" s="59" t="s">
        <v>305</v>
      </c>
      <c r="B41" s="42"/>
      <c r="C41" s="6"/>
      <c r="E41" s="59" t="s">
        <v>309</v>
      </c>
      <c r="F41" s="42"/>
      <c r="G41" s="6"/>
    </row>
    <row r="42">
      <c r="A42" s="11"/>
      <c r="B42" s="46"/>
      <c r="C42" s="13"/>
      <c r="E42" s="11"/>
      <c r="F42" s="46"/>
      <c r="G42" s="13"/>
    </row>
    <row r="43">
      <c r="A43" s="60" t="s">
        <v>314</v>
      </c>
      <c r="B43" s="6"/>
      <c r="C43" s="61">
        <f>SUM(C45:C64)</f>
        <v>14</v>
      </c>
      <c r="E43" s="62" t="s">
        <v>322</v>
      </c>
      <c r="F43" s="6"/>
      <c r="G43" s="63">
        <f>SUM(G45:G52)</f>
        <v>39</v>
      </c>
    </row>
    <row r="44">
      <c r="A44" s="11"/>
      <c r="B44" s="13"/>
      <c r="C44" s="14"/>
      <c r="E44" s="11"/>
      <c r="F44" s="13"/>
      <c r="G44" s="14"/>
    </row>
    <row r="45">
      <c r="A45" s="64" t="s">
        <v>95</v>
      </c>
      <c r="B45" s="6"/>
      <c r="C45" s="65">
        <f>COUNTIF('Defect Tracking Data'!M9:M999,"New")</f>
        <v>2</v>
      </c>
      <c r="E45" s="66" t="s">
        <v>46</v>
      </c>
      <c r="F45" s="6"/>
      <c r="G45" s="65">
        <f>COUNTIF('System Testing - Execution Data'!Q9:R972,"Passed") + COUNTIF('End-to-End Testing - Execution '!Q9:R986, "Passed")</f>
        <v>39</v>
      </c>
    </row>
    <row r="46">
      <c r="A46" s="11"/>
      <c r="B46" s="13"/>
      <c r="C46" s="14"/>
      <c r="E46" s="11"/>
      <c r="F46" s="13"/>
      <c r="G46" s="14"/>
    </row>
    <row r="47">
      <c r="A47" s="67" t="s">
        <v>40</v>
      </c>
      <c r="B47" s="6"/>
      <c r="C47" s="65">
        <f>COUNTIF('Defect Tracking Data'!M9:M999,"Open")</f>
        <v>4</v>
      </c>
      <c r="E47" s="68" t="s">
        <v>351</v>
      </c>
      <c r="F47" s="6"/>
      <c r="G47" s="65">
        <f>COUNTIF('System Testing - Execution Data'!Q9:R972,"Failed") + COUNTIF('End-to-End Testing - Execution '!Q9:R986, "Failed")</f>
        <v>0</v>
      </c>
    </row>
    <row r="48">
      <c r="A48" s="11"/>
      <c r="B48" s="13"/>
      <c r="C48" s="14"/>
      <c r="E48" s="11"/>
      <c r="F48" s="13"/>
      <c r="G48" s="14"/>
    </row>
    <row r="49">
      <c r="A49" s="70" t="s">
        <v>70</v>
      </c>
      <c r="B49" s="6"/>
      <c r="C49" s="65">
        <f>COUNTIF('Defect Tracking Data'!M9:M999,"Fixed")</f>
        <v>1</v>
      </c>
      <c r="E49" s="71" t="s">
        <v>361</v>
      </c>
      <c r="F49" s="6"/>
      <c r="G49" s="65">
        <f>COUNTIF('System Testing - Execution Data'!Q9:R972,"Blocked") + COUNTIF('End-to-End Testing - Execution '!Q9:R986, "Blocked")</f>
        <v>0</v>
      </c>
    </row>
    <row r="50">
      <c r="A50" s="11"/>
      <c r="B50" s="13"/>
      <c r="C50" s="14"/>
      <c r="E50" s="11"/>
      <c r="F50" s="13"/>
      <c r="G50" s="14"/>
      <c r="J50" s="40" t="s">
        <v>372</v>
      </c>
    </row>
    <row r="51">
      <c r="A51" s="72" t="s">
        <v>245</v>
      </c>
      <c r="B51" s="6"/>
      <c r="C51" s="65">
        <f>COUNTIF('Defect Tracking Data'!M15:M1005,"Pending Retest")</f>
        <v>0</v>
      </c>
      <c r="E51" s="74" t="s">
        <v>420</v>
      </c>
      <c r="F51" s="6"/>
      <c r="G51" s="65">
        <f>COUNTIF('System Testing - Execution Data'!Q9:R972,"Not Executed") + COUNTIF('End-to-End Testing - Execution '!Q9:R986, "Not Executed")</f>
        <v>0</v>
      </c>
    </row>
    <row r="52">
      <c r="A52" s="11"/>
      <c r="B52" s="13"/>
      <c r="C52" s="14"/>
      <c r="E52" s="11"/>
      <c r="F52" s="13"/>
      <c r="G52" s="14"/>
      <c r="J52" s="75" t="s">
        <v>2</v>
      </c>
      <c r="K52" s="6"/>
      <c r="L52" s="76" t="s">
        <v>427</v>
      </c>
      <c r="M52" s="77" t="s">
        <v>428</v>
      </c>
    </row>
    <row r="53">
      <c r="A53" s="78" t="s">
        <v>249</v>
      </c>
      <c r="B53" s="6"/>
      <c r="C53" s="65">
        <f>COUNTIF('Defect Tracking Data'!M15:M1005,"Retest")</f>
        <v>0</v>
      </c>
      <c r="J53" s="11"/>
      <c r="K53" s="13"/>
      <c r="L53" s="14"/>
      <c r="M53" s="14"/>
    </row>
    <row r="54">
      <c r="A54" s="11"/>
      <c r="B54" s="13"/>
      <c r="C54" s="14"/>
      <c r="J54" s="79" t="str">
        <f>IFERROR(__xludf.DUMMYFUNCTION("UNIQUE(FILTER('Defect Tracking Data'!E9:E99, 'Defect Tracking Data'!E9:E99 &lt;&gt; """"))"),"Authentication")</f>
        <v>Authentication</v>
      </c>
      <c r="K54" s="16"/>
      <c r="L54" s="80">
        <f t="array" ref="L54:L1000">IF(J54:J1000="", "", COUNTIF('Defect Tracking Data'!E9:E99, J54:J1000))</f>
        <v>1</v>
      </c>
      <c r="M54" s="81">
        <f>SUM(L54:L60)</f>
        <v>7</v>
      </c>
    </row>
    <row r="55">
      <c r="A55" s="82" t="s">
        <v>270</v>
      </c>
      <c r="B55" s="6"/>
      <c r="C55" s="65">
        <f>COUNTIF('Defect Tracking Data'!M15:M1005,"Reopen")</f>
        <v>0</v>
      </c>
      <c r="J55" s="79" t="str">
        <f>IFERROR(__xludf.DUMMYFUNCTION("""COMPUTED_VALUE"""),"Dashboard")</f>
        <v>Dashboard</v>
      </c>
      <c r="K55" s="16"/>
      <c r="L55" s="80">
        <v>1.0</v>
      </c>
      <c r="M55" s="83"/>
    </row>
    <row r="56">
      <c r="A56" s="11"/>
      <c r="B56" s="13"/>
      <c r="C56" s="14"/>
      <c r="J56" s="84" t="str">
        <f>IFERROR(__xludf.DUMMYFUNCTION("""COMPUTED_VALUE"""),"PIM")</f>
        <v>PIM</v>
      </c>
      <c r="K56" s="16"/>
      <c r="L56" s="80">
        <v>1.0</v>
      </c>
      <c r="M56" s="83"/>
    </row>
    <row r="57">
      <c r="A57" s="85" t="s">
        <v>273</v>
      </c>
      <c r="B57" s="6"/>
      <c r="C57" s="65">
        <f>COUNTIF('Defect Tracking Data'!M16:M1007,"Closed")</f>
        <v>0</v>
      </c>
      <c r="J57" s="84" t="str">
        <f>IFERROR(__xludf.DUMMYFUNCTION("""COMPUTED_VALUE"""),"Leave")</f>
        <v>Leave</v>
      </c>
      <c r="K57" s="16"/>
      <c r="L57" s="80">
        <v>1.0</v>
      </c>
      <c r="M57" s="83"/>
    </row>
    <row r="58">
      <c r="A58" s="11"/>
      <c r="B58" s="13"/>
      <c r="C58" s="14"/>
      <c r="J58" s="84" t="str">
        <f>IFERROR(__xludf.DUMMYFUNCTION("""COMPUTED_VALUE"""),"Time")</f>
        <v>Time</v>
      </c>
      <c r="K58" s="16"/>
      <c r="L58" s="80">
        <v>1.0</v>
      </c>
      <c r="M58" s="83"/>
    </row>
    <row r="59">
      <c r="A59" s="86" t="s">
        <v>43</v>
      </c>
      <c r="B59" s="6"/>
      <c r="C59" s="65">
        <f>COUNTIF('Defect Tracking Data'!O9:O999,"Minor")</f>
        <v>2</v>
      </c>
      <c r="J59" s="84" t="str">
        <f>IFERROR(__xludf.DUMMYFUNCTION("""COMPUTED_VALUE"""),"Recruitment")</f>
        <v>Recruitment</v>
      </c>
      <c r="K59" s="16"/>
      <c r="L59" s="80">
        <v>1.0</v>
      </c>
      <c r="M59" s="83"/>
    </row>
    <row r="60">
      <c r="A60" s="11"/>
      <c r="B60" s="13"/>
      <c r="C60" s="14"/>
      <c r="J60" s="84" t="str">
        <f>IFERROR(__xludf.DUMMYFUNCTION("""COMPUTED_VALUE"""),"Admin")</f>
        <v>Admin</v>
      </c>
      <c r="K60" s="16"/>
      <c r="L60" s="80">
        <v>1.0</v>
      </c>
      <c r="M60" s="14"/>
    </row>
    <row r="61">
      <c r="A61" s="87" t="s">
        <v>72</v>
      </c>
      <c r="B61" s="6"/>
      <c r="C61" s="65">
        <f>COUNTIF('Defect Tracking Data'!O9:O999,"Major")</f>
        <v>3</v>
      </c>
      <c r="J61" s="88"/>
      <c r="K61" s="88"/>
      <c r="L61" s="88" t="s">
        <v>460</v>
      </c>
    </row>
    <row r="62">
      <c r="A62" s="11"/>
      <c r="B62" s="13"/>
      <c r="C62" s="14"/>
      <c r="J62" s="88"/>
      <c r="K62" s="88"/>
      <c r="L62" s="88" t="s">
        <v>460</v>
      </c>
    </row>
    <row r="63">
      <c r="A63" s="89" t="s">
        <v>115</v>
      </c>
      <c r="B63" s="6"/>
      <c r="C63" s="65">
        <f>COUNTIF('Defect Tracking Data'!O9:O999,"Critical")</f>
        <v>2</v>
      </c>
      <c r="J63" s="88"/>
      <c r="K63" s="88"/>
      <c r="L63" s="88" t="s">
        <v>460</v>
      </c>
    </row>
    <row r="64">
      <c r="A64" s="11"/>
      <c r="B64" s="13"/>
      <c r="C64" s="14"/>
      <c r="J64" s="88"/>
      <c r="K64" s="88"/>
      <c r="L64" s="88" t="s">
        <v>460</v>
      </c>
    </row>
    <row r="65">
      <c r="J65" s="88"/>
      <c r="K65" s="88"/>
      <c r="L65" s="88" t="s">
        <v>460</v>
      </c>
    </row>
    <row r="66">
      <c r="J66" s="88"/>
      <c r="K66" s="88"/>
      <c r="L66" s="88" t="s">
        <v>460</v>
      </c>
    </row>
    <row r="67">
      <c r="J67" s="88"/>
      <c r="K67" s="88"/>
      <c r="L67" s="88" t="s">
        <v>460</v>
      </c>
    </row>
    <row r="68">
      <c r="J68" s="88"/>
      <c r="K68" s="88"/>
      <c r="L68" s="88" t="s">
        <v>460</v>
      </c>
    </row>
    <row r="69">
      <c r="J69" s="88"/>
      <c r="K69" s="88"/>
      <c r="L69" s="88" t="s">
        <v>460</v>
      </c>
    </row>
    <row r="70">
      <c r="J70" s="88"/>
      <c r="K70" s="88"/>
      <c r="L70" s="88" t="s">
        <v>460</v>
      </c>
    </row>
    <row r="71">
      <c r="J71" s="88"/>
      <c r="K71" s="88"/>
      <c r="L71" s="88" t="s">
        <v>460</v>
      </c>
    </row>
    <row r="72">
      <c r="J72" s="88"/>
      <c r="K72" s="88"/>
      <c r="L72" s="88" t="s">
        <v>460</v>
      </c>
    </row>
    <row r="73">
      <c r="J73" s="88"/>
      <c r="K73" s="88"/>
      <c r="L73" s="88" t="s">
        <v>460</v>
      </c>
    </row>
    <row r="74">
      <c r="J74" s="88"/>
      <c r="K74" s="88"/>
      <c r="L74" s="88" t="s">
        <v>460</v>
      </c>
    </row>
    <row r="75">
      <c r="J75" s="88"/>
      <c r="K75" s="88"/>
      <c r="L75" s="88" t="s">
        <v>460</v>
      </c>
    </row>
    <row r="76">
      <c r="J76" s="88"/>
      <c r="K76" s="88"/>
      <c r="L76" s="88" t="s">
        <v>460</v>
      </c>
    </row>
    <row r="77">
      <c r="J77" s="88"/>
      <c r="K77" s="88"/>
      <c r="L77" s="88" t="s">
        <v>460</v>
      </c>
    </row>
    <row r="78">
      <c r="J78" s="88"/>
      <c r="K78" s="88"/>
      <c r="L78" s="88" t="s">
        <v>460</v>
      </c>
    </row>
    <row r="79">
      <c r="J79" s="88"/>
      <c r="K79" s="88"/>
      <c r="L79" s="88" t="s">
        <v>460</v>
      </c>
    </row>
    <row r="80">
      <c r="J80" s="88"/>
      <c r="K80" s="88"/>
      <c r="L80" s="88" t="s">
        <v>460</v>
      </c>
    </row>
    <row r="81">
      <c r="J81" s="88"/>
      <c r="K81" s="88"/>
      <c r="L81" s="88" t="s">
        <v>460</v>
      </c>
    </row>
    <row r="82">
      <c r="J82" s="88"/>
      <c r="K82" s="88"/>
      <c r="L82" s="88" t="s">
        <v>460</v>
      </c>
    </row>
    <row r="83">
      <c r="J83" s="88"/>
      <c r="K83" s="88"/>
      <c r="L83" s="88" t="s">
        <v>460</v>
      </c>
    </row>
    <row r="84">
      <c r="J84" s="88"/>
      <c r="K84" s="88"/>
      <c r="L84" s="88" t="s">
        <v>460</v>
      </c>
    </row>
    <row r="85">
      <c r="J85" s="88"/>
      <c r="K85" s="88"/>
      <c r="L85" s="88" t="s">
        <v>460</v>
      </c>
    </row>
    <row r="86">
      <c r="J86" s="88"/>
      <c r="K86" s="88"/>
      <c r="L86" s="88" t="s">
        <v>460</v>
      </c>
    </row>
    <row r="87">
      <c r="J87" s="88"/>
      <c r="K87" s="88"/>
      <c r="L87" s="88" t="s">
        <v>460</v>
      </c>
    </row>
    <row r="88">
      <c r="J88" s="88"/>
      <c r="K88" s="88"/>
      <c r="L88" s="88" t="s">
        <v>460</v>
      </c>
    </row>
    <row r="89">
      <c r="J89" s="88"/>
      <c r="K89" s="88"/>
      <c r="L89" s="88" t="s">
        <v>460</v>
      </c>
    </row>
    <row r="90">
      <c r="J90" s="88"/>
      <c r="K90" s="88"/>
      <c r="L90" s="88" t="s">
        <v>460</v>
      </c>
    </row>
    <row r="91">
      <c r="J91" s="88"/>
      <c r="K91" s="88"/>
      <c r="L91" s="88" t="s">
        <v>460</v>
      </c>
    </row>
    <row r="92">
      <c r="J92" s="88"/>
      <c r="K92" s="88"/>
      <c r="L92" s="88" t="s">
        <v>460</v>
      </c>
    </row>
    <row r="93">
      <c r="J93" s="88"/>
      <c r="K93" s="88"/>
      <c r="L93" s="88" t="s">
        <v>460</v>
      </c>
    </row>
    <row r="94">
      <c r="J94" s="88"/>
      <c r="K94" s="88"/>
      <c r="L94" s="88" t="s">
        <v>460</v>
      </c>
    </row>
    <row r="95">
      <c r="J95" s="88"/>
      <c r="K95" s="88"/>
      <c r="L95" s="88" t="s">
        <v>460</v>
      </c>
    </row>
    <row r="96">
      <c r="J96" s="88"/>
      <c r="K96" s="88"/>
      <c r="L96" s="88" t="s">
        <v>460</v>
      </c>
    </row>
    <row r="97">
      <c r="J97" s="88"/>
      <c r="K97" s="88"/>
      <c r="L97" s="88" t="s">
        <v>460</v>
      </c>
    </row>
    <row r="98">
      <c r="J98" s="88"/>
      <c r="K98" s="88"/>
      <c r="L98" s="88" t="s">
        <v>460</v>
      </c>
    </row>
    <row r="99">
      <c r="J99" s="88"/>
      <c r="K99" s="88"/>
      <c r="L99" s="88" t="s">
        <v>460</v>
      </c>
    </row>
    <row r="100">
      <c r="J100" s="88"/>
      <c r="K100" s="88"/>
      <c r="L100" s="88" t="s">
        <v>460</v>
      </c>
    </row>
    <row r="101">
      <c r="J101" s="88"/>
      <c r="K101" s="88"/>
      <c r="L101" s="88" t="s">
        <v>460</v>
      </c>
    </row>
    <row r="102">
      <c r="J102" s="88"/>
      <c r="K102" s="88"/>
      <c r="L102" s="88" t="s">
        <v>460</v>
      </c>
    </row>
    <row r="103">
      <c r="J103" s="88"/>
      <c r="K103" s="88"/>
      <c r="L103" s="88" t="s">
        <v>460</v>
      </c>
    </row>
    <row r="104">
      <c r="J104" s="88"/>
      <c r="K104" s="88"/>
      <c r="L104" s="88" t="s">
        <v>460</v>
      </c>
    </row>
    <row r="105">
      <c r="J105" s="88"/>
      <c r="K105" s="88"/>
      <c r="L105" s="88" t="s">
        <v>460</v>
      </c>
    </row>
    <row r="106">
      <c r="J106" s="88"/>
      <c r="K106" s="88"/>
      <c r="L106" s="88" t="s">
        <v>460</v>
      </c>
    </row>
    <row r="107">
      <c r="J107" s="88"/>
      <c r="K107" s="88"/>
      <c r="L107" s="88" t="s">
        <v>460</v>
      </c>
    </row>
    <row r="108">
      <c r="J108" s="88"/>
      <c r="K108" s="88"/>
      <c r="L108" s="88" t="s">
        <v>460</v>
      </c>
    </row>
    <row r="109">
      <c r="J109" s="88"/>
      <c r="K109" s="88"/>
      <c r="L109" s="88" t="s">
        <v>460</v>
      </c>
    </row>
    <row r="110">
      <c r="J110" s="88"/>
      <c r="K110" s="88"/>
      <c r="L110" s="88" t="s">
        <v>460</v>
      </c>
    </row>
    <row r="111">
      <c r="J111" s="88"/>
      <c r="K111" s="88"/>
      <c r="L111" s="88" t="s">
        <v>460</v>
      </c>
    </row>
    <row r="112">
      <c r="J112" s="88"/>
      <c r="K112" s="88"/>
      <c r="L112" s="88" t="s">
        <v>460</v>
      </c>
    </row>
    <row r="113">
      <c r="J113" s="88"/>
      <c r="K113" s="88"/>
      <c r="L113" s="88" t="s">
        <v>460</v>
      </c>
    </row>
    <row r="114">
      <c r="J114" s="88"/>
      <c r="K114" s="88"/>
      <c r="L114" s="88" t="s">
        <v>460</v>
      </c>
    </row>
    <row r="115">
      <c r="J115" s="88"/>
      <c r="K115" s="88"/>
      <c r="L115" s="88" t="s">
        <v>460</v>
      </c>
    </row>
    <row r="116">
      <c r="J116" s="88"/>
      <c r="K116" s="88"/>
      <c r="L116" s="88" t="s">
        <v>460</v>
      </c>
    </row>
    <row r="117">
      <c r="J117" s="88"/>
      <c r="K117" s="88"/>
      <c r="L117" s="88" t="s">
        <v>460</v>
      </c>
    </row>
    <row r="118">
      <c r="J118" s="88"/>
      <c r="K118" s="88"/>
      <c r="L118" s="88" t="s">
        <v>460</v>
      </c>
    </row>
    <row r="119">
      <c r="J119" s="88"/>
      <c r="K119" s="88"/>
      <c r="L119" s="88" t="s">
        <v>460</v>
      </c>
    </row>
    <row r="120">
      <c r="J120" s="88"/>
      <c r="K120" s="88"/>
      <c r="L120" s="88" t="s">
        <v>460</v>
      </c>
    </row>
    <row r="121">
      <c r="J121" s="88"/>
      <c r="K121" s="88"/>
      <c r="L121" s="88" t="s">
        <v>460</v>
      </c>
    </row>
    <row r="122">
      <c r="J122" s="88"/>
      <c r="K122" s="88"/>
      <c r="L122" s="88" t="s">
        <v>460</v>
      </c>
    </row>
    <row r="123">
      <c r="J123" s="88"/>
      <c r="K123" s="88"/>
      <c r="L123" s="88" t="s">
        <v>460</v>
      </c>
    </row>
    <row r="124">
      <c r="J124" s="88"/>
      <c r="K124" s="88"/>
      <c r="L124" s="88" t="s">
        <v>460</v>
      </c>
    </row>
    <row r="125">
      <c r="J125" s="88"/>
      <c r="K125" s="88"/>
      <c r="L125" s="88" t="s">
        <v>460</v>
      </c>
    </row>
    <row r="126">
      <c r="J126" s="88"/>
      <c r="K126" s="88"/>
      <c r="L126" s="88" t="s">
        <v>460</v>
      </c>
    </row>
    <row r="127">
      <c r="J127" s="88"/>
      <c r="K127" s="88"/>
      <c r="L127" s="88" t="s">
        <v>460</v>
      </c>
    </row>
    <row r="128">
      <c r="J128" s="88"/>
      <c r="K128" s="88"/>
      <c r="L128" s="88" t="s">
        <v>460</v>
      </c>
    </row>
    <row r="129">
      <c r="J129" s="88"/>
      <c r="K129" s="88"/>
      <c r="L129" s="88" t="s">
        <v>460</v>
      </c>
    </row>
    <row r="130">
      <c r="J130" s="88"/>
      <c r="K130" s="88"/>
      <c r="L130" s="88" t="s">
        <v>460</v>
      </c>
    </row>
    <row r="131">
      <c r="J131" s="88"/>
      <c r="K131" s="88"/>
      <c r="L131" s="88" t="s">
        <v>460</v>
      </c>
    </row>
    <row r="132">
      <c r="J132" s="88"/>
      <c r="K132" s="88"/>
      <c r="L132" s="88" t="s">
        <v>460</v>
      </c>
    </row>
    <row r="133">
      <c r="J133" s="88"/>
      <c r="K133" s="88"/>
      <c r="L133" s="88" t="s">
        <v>460</v>
      </c>
    </row>
    <row r="134">
      <c r="J134" s="88"/>
      <c r="K134" s="88"/>
      <c r="L134" s="88" t="s">
        <v>460</v>
      </c>
    </row>
    <row r="135">
      <c r="J135" s="88"/>
      <c r="K135" s="88"/>
      <c r="L135" s="88" t="s">
        <v>460</v>
      </c>
    </row>
    <row r="136">
      <c r="J136" s="88"/>
      <c r="K136" s="88"/>
      <c r="L136" s="88" t="s">
        <v>460</v>
      </c>
    </row>
    <row r="137">
      <c r="J137" s="88"/>
      <c r="K137" s="88"/>
      <c r="L137" s="88" t="s">
        <v>460</v>
      </c>
    </row>
    <row r="138">
      <c r="J138" s="88"/>
      <c r="K138" s="88"/>
      <c r="L138" s="88" t="s">
        <v>460</v>
      </c>
    </row>
    <row r="139">
      <c r="J139" s="88"/>
      <c r="K139" s="88"/>
      <c r="L139" s="88" t="s">
        <v>460</v>
      </c>
    </row>
    <row r="140">
      <c r="J140" s="88"/>
      <c r="K140" s="88"/>
      <c r="L140" s="88" t="s">
        <v>460</v>
      </c>
    </row>
    <row r="141">
      <c r="J141" s="88"/>
      <c r="K141" s="88"/>
      <c r="L141" s="88" t="s">
        <v>460</v>
      </c>
    </row>
    <row r="142">
      <c r="J142" s="88"/>
      <c r="K142" s="88"/>
      <c r="L142" s="88" t="s">
        <v>460</v>
      </c>
    </row>
    <row r="143">
      <c r="J143" s="88"/>
      <c r="K143" s="88"/>
      <c r="L143" s="88" t="s">
        <v>460</v>
      </c>
    </row>
    <row r="144">
      <c r="J144" s="88"/>
      <c r="K144" s="88"/>
      <c r="L144" s="88" t="s">
        <v>460</v>
      </c>
    </row>
    <row r="145">
      <c r="J145" s="88"/>
      <c r="K145" s="88"/>
      <c r="L145" s="88" t="s">
        <v>460</v>
      </c>
    </row>
    <row r="146">
      <c r="J146" s="88"/>
      <c r="K146" s="88"/>
      <c r="L146" s="88" t="s">
        <v>460</v>
      </c>
    </row>
    <row r="147">
      <c r="J147" s="88"/>
      <c r="K147" s="88"/>
      <c r="L147" s="88" t="s">
        <v>460</v>
      </c>
    </row>
    <row r="148">
      <c r="J148" s="88"/>
      <c r="K148" s="88"/>
      <c r="L148" s="88" t="s">
        <v>460</v>
      </c>
    </row>
    <row r="149">
      <c r="J149" s="88"/>
      <c r="K149" s="88"/>
      <c r="L149" s="88" t="s">
        <v>460</v>
      </c>
    </row>
    <row r="150">
      <c r="J150" s="88"/>
      <c r="K150" s="88"/>
      <c r="L150" s="88" t="s">
        <v>460</v>
      </c>
    </row>
    <row r="151">
      <c r="J151" s="88"/>
      <c r="K151" s="88"/>
      <c r="L151" s="88" t="s">
        <v>460</v>
      </c>
    </row>
    <row r="152">
      <c r="J152" s="88"/>
      <c r="K152" s="88"/>
      <c r="L152" s="88" t="s">
        <v>460</v>
      </c>
    </row>
    <row r="153">
      <c r="J153" s="88"/>
      <c r="K153" s="88"/>
      <c r="L153" s="88" t="s">
        <v>460</v>
      </c>
    </row>
    <row r="154">
      <c r="J154" s="88"/>
      <c r="K154" s="88"/>
      <c r="L154" s="88" t="s">
        <v>460</v>
      </c>
    </row>
    <row r="155">
      <c r="J155" s="88"/>
      <c r="K155" s="88"/>
      <c r="L155" s="88" t="s">
        <v>460</v>
      </c>
    </row>
    <row r="156">
      <c r="J156" s="88"/>
      <c r="K156" s="88"/>
      <c r="L156" s="88" t="s">
        <v>460</v>
      </c>
    </row>
    <row r="157">
      <c r="J157" s="88"/>
      <c r="K157" s="88"/>
      <c r="L157" s="88" t="s">
        <v>460</v>
      </c>
    </row>
    <row r="158">
      <c r="J158" s="88"/>
      <c r="K158" s="88"/>
      <c r="L158" s="88" t="s">
        <v>460</v>
      </c>
    </row>
    <row r="159">
      <c r="J159" s="88"/>
      <c r="K159" s="88"/>
      <c r="L159" s="88" t="s">
        <v>460</v>
      </c>
    </row>
    <row r="160">
      <c r="J160" s="88"/>
      <c r="K160" s="88"/>
      <c r="L160" s="88" t="s">
        <v>460</v>
      </c>
    </row>
    <row r="161">
      <c r="J161" s="88"/>
      <c r="K161" s="88"/>
      <c r="L161" s="88" t="s">
        <v>460</v>
      </c>
    </row>
    <row r="162">
      <c r="J162" s="88"/>
      <c r="K162" s="88"/>
      <c r="L162" s="88" t="s">
        <v>460</v>
      </c>
    </row>
    <row r="163">
      <c r="J163" s="88"/>
      <c r="K163" s="88"/>
      <c r="L163" s="88" t="s">
        <v>460</v>
      </c>
    </row>
    <row r="164">
      <c r="J164" s="88"/>
      <c r="K164" s="88"/>
      <c r="L164" s="88" t="s">
        <v>460</v>
      </c>
    </row>
    <row r="165">
      <c r="J165" s="88"/>
      <c r="K165" s="88"/>
      <c r="L165" s="88" t="s">
        <v>460</v>
      </c>
    </row>
    <row r="166">
      <c r="J166" s="88"/>
      <c r="K166" s="88"/>
      <c r="L166" s="88" t="s">
        <v>460</v>
      </c>
    </row>
    <row r="167">
      <c r="J167" s="88"/>
      <c r="K167" s="88"/>
      <c r="L167" s="88" t="s">
        <v>460</v>
      </c>
    </row>
    <row r="168">
      <c r="J168" s="88"/>
      <c r="K168" s="88"/>
      <c r="L168" s="88" t="s">
        <v>460</v>
      </c>
    </row>
    <row r="169">
      <c r="J169" s="88"/>
      <c r="K169" s="88"/>
      <c r="L169" s="88" t="s">
        <v>460</v>
      </c>
    </row>
    <row r="170">
      <c r="J170" s="88"/>
      <c r="K170" s="88"/>
      <c r="L170" s="88" t="s">
        <v>460</v>
      </c>
    </row>
    <row r="171">
      <c r="J171" s="88"/>
      <c r="K171" s="88"/>
      <c r="L171" s="88" t="s">
        <v>460</v>
      </c>
    </row>
    <row r="172">
      <c r="J172" s="88"/>
      <c r="K172" s="88"/>
      <c r="L172" s="88" t="s">
        <v>460</v>
      </c>
    </row>
    <row r="173">
      <c r="J173" s="88"/>
      <c r="K173" s="88"/>
      <c r="L173" s="88" t="s">
        <v>460</v>
      </c>
    </row>
    <row r="174">
      <c r="J174" s="88"/>
      <c r="K174" s="88"/>
      <c r="L174" s="88" t="s">
        <v>460</v>
      </c>
    </row>
    <row r="175">
      <c r="J175" s="88"/>
      <c r="K175" s="88"/>
      <c r="L175" s="88" t="s">
        <v>460</v>
      </c>
    </row>
    <row r="176">
      <c r="J176" s="88"/>
      <c r="K176" s="88"/>
      <c r="L176" s="88" t="s">
        <v>460</v>
      </c>
    </row>
    <row r="177">
      <c r="J177" s="88"/>
      <c r="K177" s="88"/>
      <c r="L177" s="88" t="s">
        <v>460</v>
      </c>
    </row>
    <row r="178">
      <c r="J178" s="88"/>
      <c r="K178" s="88"/>
      <c r="L178" s="88" t="s">
        <v>460</v>
      </c>
    </row>
    <row r="179">
      <c r="J179" s="88"/>
      <c r="K179" s="88"/>
      <c r="L179" s="88" t="s">
        <v>460</v>
      </c>
    </row>
    <row r="180">
      <c r="J180" s="88"/>
      <c r="K180" s="88"/>
      <c r="L180" s="88" t="s">
        <v>460</v>
      </c>
    </row>
    <row r="181">
      <c r="J181" s="88"/>
      <c r="K181" s="88"/>
      <c r="L181" s="88" t="s">
        <v>460</v>
      </c>
    </row>
    <row r="182">
      <c r="J182" s="88"/>
      <c r="K182" s="88"/>
      <c r="L182" s="88" t="s">
        <v>460</v>
      </c>
    </row>
    <row r="183">
      <c r="J183" s="88"/>
      <c r="K183" s="88"/>
      <c r="L183" s="88" t="s">
        <v>460</v>
      </c>
    </row>
    <row r="184">
      <c r="J184" s="88"/>
      <c r="K184" s="88"/>
      <c r="L184" s="88" t="s">
        <v>460</v>
      </c>
    </row>
    <row r="185">
      <c r="J185" s="88"/>
      <c r="K185" s="88"/>
      <c r="L185" s="88" t="s">
        <v>460</v>
      </c>
    </row>
    <row r="186">
      <c r="J186" s="88"/>
      <c r="K186" s="88"/>
      <c r="L186" s="88" t="s">
        <v>460</v>
      </c>
    </row>
    <row r="187">
      <c r="J187" s="88"/>
      <c r="K187" s="88"/>
      <c r="L187" s="88" t="s">
        <v>460</v>
      </c>
    </row>
    <row r="188">
      <c r="J188" s="88"/>
      <c r="K188" s="88"/>
      <c r="L188" s="88" t="s">
        <v>460</v>
      </c>
    </row>
    <row r="189">
      <c r="J189" s="88"/>
      <c r="K189" s="88"/>
      <c r="L189" s="88" t="s">
        <v>460</v>
      </c>
    </row>
    <row r="190">
      <c r="J190" s="88"/>
      <c r="K190" s="88"/>
      <c r="L190" s="88" t="s">
        <v>460</v>
      </c>
    </row>
    <row r="191">
      <c r="J191" s="88"/>
      <c r="K191" s="88"/>
      <c r="L191" s="88" t="s">
        <v>460</v>
      </c>
    </row>
    <row r="192">
      <c r="J192" s="88"/>
      <c r="K192" s="88"/>
      <c r="L192" s="88" t="s">
        <v>460</v>
      </c>
    </row>
    <row r="193">
      <c r="J193" s="88"/>
      <c r="K193" s="88"/>
      <c r="L193" s="88" t="s">
        <v>460</v>
      </c>
    </row>
    <row r="194">
      <c r="J194" s="88"/>
      <c r="K194" s="88"/>
      <c r="L194" s="88" t="s">
        <v>460</v>
      </c>
    </row>
    <row r="195">
      <c r="J195" s="88"/>
      <c r="K195" s="88"/>
      <c r="L195" s="88" t="s">
        <v>460</v>
      </c>
    </row>
    <row r="196">
      <c r="J196" s="88"/>
      <c r="K196" s="88"/>
      <c r="L196" s="88" t="s">
        <v>460</v>
      </c>
    </row>
    <row r="197">
      <c r="J197" s="88"/>
      <c r="K197" s="88"/>
      <c r="L197" s="88" t="s">
        <v>460</v>
      </c>
    </row>
    <row r="198">
      <c r="J198" s="88"/>
      <c r="K198" s="88"/>
      <c r="L198" s="88" t="s">
        <v>460</v>
      </c>
    </row>
    <row r="199">
      <c r="J199" s="88"/>
      <c r="K199" s="88"/>
      <c r="L199" s="88" t="s">
        <v>460</v>
      </c>
    </row>
    <row r="200">
      <c r="J200" s="88"/>
      <c r="K200" s="88"/>
      <c r="L200" s="88" t="s">
        <v>460</v>
      </c>
    </row>
    <row r="201">
      <c r="J201" s="88"/>
      <c r="K201" s="88"/>
      <c r="L201" s="88" t="s">
        <v>460</v>
      </c>
    </row>
    <row r="202">
      <c r="J202" s="88"/>
      <c r="K202" s="88"/>
      <c r="L202" s="88" t="s">
        <v>460</v>
      </c>
    </row>
    <row r="203">
      <c r="J203" s="88"/>
      <c r="K203" s="88"/>
      <c r="L203" s="88" t="s">
        <v>460</v>
      </c>
    </row>
    <row r="204">
      <c r="J204" s="88"/>
      <c r="K204" s="88"/>
      <c r="L204" s="88" t="s">
        <v>460</v>
      </c>
    </row>
    <row r="205">
      <c r="J205" s="88"/>
      <c r="K205" s="88"/>
      <c r="L205" s="88" t="s">
        <v>460</v>
      </c>
    </row>
    <row r="206">
      <c r="J206" s="88"/>
      <c r="K206" s="88"/>
      <c r="L206" s="88" t="s">
        <v>460</v>
      </c>
    </row>
    <row r="207">
      <c r="J207" s="88"/>
      <c r="K207" s="88"/>
      <c r="L207" s="88" t="s">
        <v>460</v>
      </c>
    </row>
    <row r="208">
      <c r="J208" s="88"/>
      <c r="K208" s="88"/>
      <c r="L208" s="88" t="s">
        <v>460</v>
      </c>
    </row>
    <row r="209">
      <c r="J209" s="88"/>
      <c r="K209" s="88"/>
      <c r="L209" s="88" t="s">
        <v>460</v>
      </c>
    </row>
    <row r="210">
      <c r="J210" s="88"/>
      <c r="K210" s="88"/>
      <c r="L210" s="88" t="s">
        <v>460</v>
      </c>
    </row>
    <row r="211">
      <c r="J211" s="88"/>
      <c r="K211" s="88"/>
      <c r="L211" s="88" t="s">
        <v>460</v>
      </c>
    </row>
    <row r="212">
      <c r="J212" s="88"/>
      <c r="K212" s="88"/>
      <c r="L212" s="88" t="s">
        <v>460</v>
      </c>
    </row>
    <row r="213">
      <c r="J213" s="88"/>
      <c r="K213" s="88"/>
      <c r="L213" s="88" t="s">
        <v>460</v>
      </c>
    </row>
    <row r="214">
      <c r="J214" s="88"/>
      <c r="K214" s="88"/>
      <c r="L214" s="88" t="s">
        <v>460</v>
      </c>
    </row>
    <row r="215">
      <c r="J215" s="88"/>
      <c r="K215" s="88"/>
      <c r="L215" s="88" t="s">
        <v>460</v>
      </c>
    </row>
    <row r="216">
      <c r="J216" s="88"/>
      <c r="K216" s="88"/>
      <c r="L216" s="88" t="s">
        <v>460</v>
      </c>
    </row>
    <row r="217">
      <c r="J217" s="88"/>
      <c r="K217" s="88"/>
      <c r="L217" s="88" t="s">
        <v>460</v>
      </c>
    </row>
    <row r="218">
      <c r="J218" s="88"/>
      <c r="K218" s="88"/>
      <c r="L218" s="88" t="s">
        <v>460</v>
      </c>
    </row>
    <row r="219">
      <c r="J219" s="88"/>
      <c r="K219" s="88"/>
      <c r="L219" s="88" t="s">
        <v>460</v>
      </c>
    </row>
    <row r="220">
      <c r="J220" s="88"/>
      <c r="K220" s="88"/>
      <c r="L220" s="88" t="s">
        <v>460</v>
      </c>
    </row>
    <row r="221">
      <c r="J221" s="88"/>
      <c r="K221" s="88"/>
      <c r="L221" s="88" t="s">
        <v>460</v>
      </c>
    </row>
    <row r="222">
      <c r="J222" s="88"/>
      <c r="K222" s="88"/>
      <c r="L222" s="88" t="s">
        <v>460</v>
      </c>
    </row>
    <row r="223">
      <c r="J223" s="88"/>
      <c r="K223" s="88"/>
      <c r="L223" s="88" t="s">
        <v>460</v>
      </c>
    </row>
    <row r="224">
      <c r="J224" s="88"/>
      <c r="K224" s="88"/>
      <c r="L224" s="88" t="s">
        <v>460</v>
      </c>
    </row>
    <row r="225">
      <c r="J225" s="88"/>
      <c r="K225" s="88"/>
      <c r="L225" s="88" t="s">
        <v>460</v>
      </c>
    </row>
    <row r="226">
      <c r="J226" s="88"/>
      <c r="K226" s="88"/>
      <c r="L226" s="88" t="s">
        <v>460</v>
      </c>
    </row>
    <row r="227">
      <c r="J227" s="88"/>
      <c r="K227" s="88"/>
      <c r="L227" s="88" t="s">
        <v>460</v>
      </c>
    </row>
    <row r="228">
      <c r="J228" s="88"/>
      <c r="K228" s="88"/>
      <c r="L228" s="88" t="s">
        <v>460</v>
      </c>
    </row>
    <row r="229">
      <c r="J229" s="88"/>
      <c r="K229" s="88"/>
      <c r="L229" s="88" t="s">
        <v>460</v>
      </c>
    </row>
    <row r="230">
      <c r="J230" s="88"/>
      <c r="K230" s="88"/>
      <c r="L230" s="88" t="s">
        <v>460</v>
      </c>
    </row>
    <row r="231">
      <c r="J231" s="88"/>
      <c r="K231" s="88"/>
      <c r="L231" s="88" t="s">
        <v>460</v>
      </c>
    </row>
    <row r="232">
      <c r="J232" s="88"/>
      <c r="K232" s="88"/>
      <c r="L232" s="88" t="s">
        <v>460</v>
      </c>
    </row>
    <row r="233">
      <c r="J233" s="88"/>
      <c r="K233" s="88"/>
      <c r="L233" s="88" t="s">
        <v>460</v>
      </c>
    </row>
    <row r="234">
      <c r="J234" s="88"/>
      <c r="K234" s="88"/>
      <c r="L234" s="88" t="s">
        <v>460</v>
      </c>
    </row>
    <row r="235">
      <c r="J235" s="88"/>
      <c r="K235" s="88"/>
      <c r="L235" s="88" t="s">
        <v>460</v>
      </c>
    </row>
    <row r="236">
      <c r="J236" s="88"/>
      <c r="K236" s="88"/>
      <c r="L236" s="88" t="s">
        <v>460</v>
      </c>
    </row>
    <row r="237">
      <c r="J237" s="88"/>
      <c r="K237" s="88"/>
      <c r="L237" s="88" t="s">
        <v>460</v>
      </c>
    </row>
    <row r="238">
      <c r="J238" s="88"/>
      <c r="K238" s="88"/>
      <c r="L238" s="88" t="s">
        <v>460</v>
      </c>
    </row>
    <row r="239">
      <c r="J239" s="88"/>
      <c r="K239" s="88"/>
      <c r="L239" s="88" t="s">
        <v>460</v>
      </c>
    </row>
    <row r="240">
      <c r="J240" s="88"/>
      <c r="K240" s="88"/>
      <c r="L240" s="88" t="s">
        <v>460</v>
      </c>
    </row>
    <row r="241">
      <c r="J241" s="88"/>
      <c r="K241" s="88"/>
      <c r="L241" s="88" t="s">
        <v>460</v>
      </c>
    </row>
    <row r="242">
      <c r="J242" s="88"/>
      <c r="K242" s="88"/>
      <c r="L242" s="88" t="s">
        <v>460</v>
      </c>
    </row>
    <row r="243">
      <c r="J243" s="88"/>
      <c r="K243" s="88"/>
      <c r="L243" s="88" t="s">
        <v>460</v>
      </c>
    </row>
    <row r="244">
      <c r="J244" s="88"/>
      <c r="K244" s="88"/>
      <c r="L244" s="88" t="s">
        <v>460</v>
      </c>
    </row>
    <row r="245">
      <c r="J245" s="88"/>
      <c r="K245" s="88"/>
      <c r="L245" s="88" t="s">
        <v>460</v>
      </c>
    </row>
    <row r="246">
      <c r="J246" s="88"/>
      <c r="K246" s="88"/>
      <c r="L246" s="88" t="s">
        <v>460</v>
      </c>
    </row>
    <row r="247">
      <c r="J247" s="88"/>
      <c r="K247" s="88"/>
      <c r="L247" s="88" t="s">
        <v>460</v>
      </c>
    </row>
    <row r="248">
      <c r="J248" s="88"/>
      <c r="K248" s="88"/>
      <c r="L248" s="88" t="s">
        <v>460</v>
      </c>
    </row>
    <row r="249">
      <c r="J249" s="88"/>
      <c r="K249" s="88"/>
      <c r="L249" s="88" t="s">
        <v>460</v>
      </c>
    </row>
    <row r="250">
      <c r="J250" s="88"/>
      <c r="K250" s="88"/>
      <c r="L250" s="88" t="s">
        <v>460</v>
      </c>
    </row>
    <row r="251">
      <c r="J251" s="88"/>
      <c r="K251" s="88"/>
      <c r="L251" s="88" t="s">
        <v>460</v>
      </c>
    </row>
    <row r="252">
      <c r="J252" s="88"/>
      <c r="K252" s="88"/>
      <c r="L252" s="88" t="s">
        <v>460</v>
      </c>
    </row>
    <row r="253">
      <c r="J253" s="88"/>
      <c r="K253" s="88"/>
      <c r="L253" s="88" t="s">
        <v>460</v>
      </c>
    </row>
    <row r="254">
      <c r="J254" s="88"/>
      <c r="K254" s="88"/>
      <c r="L254" s="88" t="s">
        <v>460</v>
      </c>
    </row>
    <row r="255">
      <c r="J255" s="88"/>
      <c r="K255" s="88"/>
      <c r="L255" s="88" t="s">
        <v>460</v>
      </c>
    </row>
    <row r="256">
      <c r="J256" s="88"/>
      <c r="K256" s="88"/>
      <c r="L256" s="88" t="s">
        <v>460</v>
      </c>
    </row>
    <row r="257">
      <c r="J257" s="88"/>
      <c r="K257" s="88"/>
      <c r="L257" s="88" t="s">
        <v>460</v>
      </c>
    </row>
    <row r="258">
      <c r="J258" s="88"/>
      <c r="K258" s="88"/>
      <c r="L258" s="88" t="s">
        <v>460</v>
      </c>
    </row>
    <row r="259">
      <c r="J259" s="88"/>
      <c r="K259" s="88"/>
      <c r="L259" s="88" t="s">
        <v>460</v>
      </c>
    </row>
    <row r="260">
      <c r="J260" s="88"/>
      <c r="K260" s="88"/>
      <c r="L260" s="88" t="s">
        <v>460</v>
      </c>
    </row>
    <row r="261">
      <c r="J261" s="88"/>
      <c r="K261" s="88"/>
      <c r="L261" s="88" t="s">
        <v>460</v>
      </c>
    </row>
    <row r="262">
      <c r="J262" s="88"/>
      <c r="K262" s="88"/>
      <c r="L262" s="88" t="s">
        <v>460</v>
      </c>
    </row>
    <row r="263">
      <c r="J263" s="88"/>
      <c r="K263" s="88"/>
      <c r="L263" s="88" t="s">
        <v>460</v>
      </c>
    </row>
    <row r="264">
      <c r="J264" s="88"/>
      <c r="K264" s="88"/>
      <c r="L264" s="88" t="s">
        <v>460</v>
      </c>
    </row>
    <row r="265">
      <c r="J265" s="88"/>
      <c r="K265" s="88"/>
      <c r="L265" s="88" t="s">
        <v>460</v>
      </c>
    </row>
    <row r="266">
      <c r="J266" s="88"/>
      <c r="K266" s="88"/>
      <c r="L266" s="88" t="s">
        <v>460</v>
      </c>
    </row>
    <row r="267">
      <c r="J267" s="88"/>
      <c r="K267" s="88"/>
      <c r="L267" s="88" t="s">
        <v>460</v>
      </c>
    </row>
    <row r="268">
      <c r="J268" s="88"/>
      <c r="K268" s="88"/>
      <c r="L268" s="88" t="s">
        <v>460</v>
      </c>
    </row>
    <row r="269">
      <c r="J269" s="88"/>
      <c r="K269" s="88"/>
      <c r="L269" s="88" t="s">
        <v>460</v>
      </c>
    </row>
    <row r="270">
      <c r="J270" s="88"/>
      <c r="K270" s="88"/>
      <c r="L270" s="88" t="s">
        <v>460</v>
      </c>
    </row>
    <row r="271">
      <c r="J271" s="88"/>
      <c r="K271" s="88"/>
      <c r="L271" s="88" t="s">
        <v>460</v>
      </c>
    </row>
    <row r="272">
      <c r="J272" s="88"/>
      <c r="K272" s="88"/>
      <c r="L272" s="88" t="s">
        <v>460</v>
      </c>
    </row>
    <row r="273">
      <c r="J273" s="88"/>
      <c r="K273" s="88"/>
      <c r="L273" s="88" t="s">
        <v>460</v>
      </c>
    </row>
    <row r="274">
      <c r="J274" s="88"/>
      <c r="K274" s="88"/>
      <c r="L274" s="88" t="s">
        <v>460</v>
      </c>
    </row>
    <row r="275">
      <c r="J275" s="88"/>
      <c r="K275" s="88"/>
      <c r="L275" s="88" t="s">
        <v>460</v>
      </c>
    </row>
    <row r="276">
      <c r="J276" s="88"/>
      <c r="K276" s="88"/>
      <c r="L276" s="88" t="s">
        <v>460</v>
      </c>
    </row>
    <row r="277">
      <c r="J277" s="88"/>
      <c r="K277" s="88"/>
      <c r="L277" s="88" t="s">
        <v>460</v>
      </c>
    </row>
    <row r="278">
      <c r="J278" s="88"/>
      <c r="K278" s="88"/>
      <c r="L278" s="88" t="s">
        <v>460</v>
      </c>
    </row>
    <row r="279">
      <c r="J279" s="88"/>
      <c r="K279" s="88"/>
      <c r="L279" s="88" t="s">
        <v>460</v>
      </c>
    </row>
    <row r="280">
      <c r="J280" s="88"/>
      <c r="K280" s="88"/>
      <c r="L280" s="88" t="s">
        <v>460</v>
      </c>
    </row>
    <row r="281">
      <c r="J281" s="88"/>
      <c r="K281" s="88"/>
      <c r="L281" s="88" t="s">
        <v>460</v>
      </c>
    </row>
    <row r="282">
      <c r="J282" s="88"/>
      <c r="K282" s="88"/>
      <c r="L282" s="88" t="s">
        <v>460</v>
      </c>
    </row>
    <row r="283">
      <c r="J283" s="88"/>
      <c r="K283" s="88"/>
      <c r="L283" s="88" t="s">
        <v>460</v>
      </c>
    </row>
    <row r="284">
      <c r="J284" s="88"/>
      <c r="K284" s="88"/>
      <c r="L284" s="88" t="s">
        <v>460</v>
      </c>
    </row>
    <row r="285">
      <c r="J285" s="88"/>
      <c r="K285" s="88"/>
      <c r="L285" s="88" t="s">
        <v>460</v>
      </c>
    </row>
    <row r="286">
      <c r="J286" s="88"/>
      <c r="K286" s="88"/>
      <c r="L286" s="88" t="s">
        <v>460</v>
      </c>
    </row>
    <row r="287">
      <c r="J287" s="88"/>
      <c r="K287" s="88"/>
      <c r="L287" s="88" t="s">
        <v>460</v>
      </c>
    </row>
    <row r="288">
      <c r="J288" s="88"/>
      <c r="K288" s="88"/>
      <c r="L288" s="88" t="s">
        <v>460</v>
      </c>
    </row>
    <row r="289">
      <c r="J289" s="88"/>
      <c r="K289" s="88"/>
      <c r="L289" s="88" t="s">
        <v>460</v>
      </c>
    </row>
    <row r="290">
      <c r="J290" s="88"/>
      <c r="K290" s="88"/>
      <c r="L290" s="88" t="s">
        <v>460</v>
      </c>
    </row>
    <row r="291">
      <c r="J291" s="88"/>
      <c r="K291" s="88"/>
      <c r="L291" s="88" t="s">
        <v>460</v>
      </c>
    </row>
    <row r="292">
      <c r="J292" s="88"/>
      <c r="K292" s="88"/>
      <c r="L292" s="88" t="s">
        <v>460</v>
      </c>
    </row>
    <row r="293">
      <c r="J293" s="88"/>
      <c r="K293" s="88"/>
      <c r="L293" s="88" t="s">
        <v>460</v>
      </c>
    </row>
    <row r="294">
      <c r="J294" s="88"/>
      <c r="K294" s="88"/>
      <c r="L294" s="88" t="s">
        <v>460</v>
      </c>
    </row>
    <row r="295">
      <c r="J295" s="88"/>
      <c r="K295" s="88"/>
      <c r="L295" s="88" t="s">
        <v>460</v>
      </c>
    </row>
    <row r="296">
      <c r="J296" s="88"/>
      <c r="K296" s="88"/>
      <c r="L296" s="88" t="s">
        <v>460</v>
      </c>
    </row>
    <row r="297">
      <c r="J297" s="88"/>
      <c r="K297" s="88"/>
      <c r="L297" s="88" t="s">
        <v>460</v>
      </c>
    </row>
    <row r="298">
      <c r="J298" s="88"/>
      <c r="K298" s="88"/>
      <c r="L298" s="88" t="s">
        <v>460</v>
      </c>
    </row>
    <row r="299">
      <c r="J299" s="88"/>
      <c r="K299" s="88"/>
      <c r="L299" s="88" t="s">
        <v>460</v>
      </c>
    </row>
    <row r="300">
      <c r="J300" s="88"/>
      <c r="K300" s="88"/>
      <c r="L300" s="88" t="s">
        <v>460</v>
      </c>
    </row>
    <row r="301">
      <c r="J301" s="88"/>
      <c r="K301" s="88"/>
      <c r="L301" s="88" t="s">
        <v>460</v>
      </c>
    </row>
    <row r="302">
      <c r="J302" s="88"/>
      <c r="K302" s="88"/>
      <c r="L302" s="88" t="s">
        <v>460</v>
      </c>
    </row>
    <row r="303">
      <c r="J303" s="88"/>
      <c r="K303" s="88"/>
      <c r="L303" s="88" t="s">
        <v>460</v>
      </c>
    </row>
    <row r="304">
      <c r="J304" s="88"/>
      <c r="K304" s="88"/>
      <c r="L304" s="88" t="s">
        <v>460</v>
      </c>
    </row>
    <row r="305">
      <c r="J305" s="88"/>
      <c r="K305" s="88"/>
      <c r="L305" s="88" t="s">
        <v>460</v>
      </c>
    </row>
    <row r="306">
      <c r="J306" s="88"/>
      <c r="K306" s="88"/>
      <c r="L306" s="88" t="s">
        <v>460</v>
      </c>
    </row>
    <row r="307">
      <c r="J307" s="88"/>
      <c r="K307" s="88"/>
      <c r="L307" s="88" t="s">
        <v>460</v>
      </c>
    </row>
    <row r="308">
      <c r="J308" s="88"/>
      <c r="K308" s="88"/>
      <c r="L308" s="88" t="s">
        <v>460</v>
      </c>
    </row>
    <row r="309">
      <c r="J309" s="88"/>
      <c r="K309" s="88"/>
      <c r="L309" s="88" t="s">
        <v>460</v>
      </c>
    </row>
    <row r="310">
      <c r="J310" s="88"/>
      <c r="K310" s="88"/>
      <c r="L310" s="88" t="s">
        <v>460</v>
      </c>
    </row>
    <row r="311">
      <c r="J311" s="88"/>
      <c r="K311" s="88"/>
      <c r="L311" s="88" t="s">
        <v>460</v>
      </c>
    </row>
    <row r="312">
      <c r="J312" s="88"/>
      <c r="K312" s="88"/>
      <c r="L312" s="88" t="s">
        <v>460</v>
      </c>
    </row>
    <row r="313">
      <c r="J313" s="88"/>
      <c r="K313" s="88"/>
      <c r="L313" s="88" t="s">
        <v>460</v>
      </c>
    </row>
    <row r="314">
      <c r="J314" s="88"/>
      <c r="K314" s="88"/>
      <c r="L314" s="88" t="s">
        <v>460</v>
      </c>
    </row>
    <row r="315">
      <c r="J315" s="88"/>
      <c r="K315" s="88"/>
      <c r="L315" s="88" t="s">
        <v>460</v>
      </c>
    </row>
    <row r="316">
      <c r="J316" s="88"/>
      <c r="K316" s="88"/>
      <c r="L316" s="88" t="s">
        <v>460</v>
      </c>
    </row>
    <row r="317">
      <c r="J317" s="88"/>
      <c r="K317" s="88"/>
      <c r="L317" s="88" t="s">
        <v>460</v>
      </c>
    </row>
    <row r="318">
      <c r="J318" s="88"/>
      <c r="K318" s="88"/>
      <c r="L318" s="88" t="s">
        <v>460</v>
      </c>
    </row>
    <row r="319">
      <c r="J319" s="88"/>
      <c r="K319" s="88"/>
      <c r="L319" s="88" t="s">
        <v>460</v>
      </c>
    </row>
    <row r="320">
      <c r="J320" s="88"/>
      <c r="K320" s="88"/>
      <c r="L320" s="88" t="s">
        <v>460</v>
      </c>
    </row>
    <row r="321">
      <c r="J321" s="88"/>
      <c r="K321" s="88"/>
      <c r="L321" s="88" t="s">
        <v>460</v>
      </c>
    </row>
    <row r="322">
      <c r="J322" s="88"/>
      <c r="K322" s="88"/>
      <c r="L322" s="88" t="s">
        <v>460</v>
      </c>
    </row>
    <row r="323">
      <c r="J323" s="88"/>
      <c r="K323" s="88"/>
      <c r="L323" s="88" t="s">
        <v>460</v>
      </c>
    </row>
    <row r="324">
      <c r="J324" s="88"/>
      <c r="K324" s="88"/>
      <c r="L324" s="88" t="s">
        <v>460</v>
      </c>
    </row>
    <row r="325">
      <c r="J325" s="88"/>
      <c r="K325" s="88"/>
      <c r="L325" s="88" t="s">
        <v>460</v>
      </c>
    </row>
    <row r="326">
      <c r="J326" s="88"/>
      <c r="K326" s="88"/>
      <c r="L326" s="88" t="s">
        <v>460</v>
      </c>
    </row>
    <row r="327">
      <c r="J327" s="88"/>
      <c r="K327" s="88"/>
      <c r="L327" s="88" t="s">
        <v>460</v>
      </c>
    </row>
    <row r="328">
      <c r="J328" s="88"/>
      <c r="K328" s="88"/>
      <c r="L328" s="88" t="s">
        <v>460</v>
      </c>
    </row>
    <row r="329">
      <c r="J329" s="88"/>
      <c r="K329" s="88"/>
      <c r="L329" s="88" t="s">
        <v>460</v>
      </c>
    </row>
    <row r="330">
      <c r="J330" s="88"/>
      <c r="K330" s="88"/>
      <c r="L330" s="88" t="s">
        <v>460</v>
      </c>
    </row>
    <row r="331">
      <c r="J331" s="88"/>
      <c r="K331" s="88"/>
      <c r="L331" s="88" t="s">
        <v>460</v>
      </c>
    </row>
    <row r="332">
      <c r="J332" s="88"/>
      <c r="K332" s="88"/>
      <c r="L332" s="88" t="s">
        <v>460</v>
      </c>
    </row>
    <row r="333">
      <c r="J333" s="88"/>
      <c r="K333" s="88"/>
      <c r="L333" s="88" t="s">
        <v>460</v>
      </c>
    </row>
    <row r="334">
      <c r="J334" s="88"/>
      <c r="K334" s="88"/>
      <c r="L334" s="88" t="s">
        <v>460</v>
      </c>
    </row>
    <row r="335">
      <c r="J335" s="88"/>
      <c r="K335" s="88"/>
      <c r="L335" s="88" t="s">
        <v>460</v>
      </c>
    </row>
    <row r="336">
      <c r="J336" s="88"/>
      <c r="K336" s="88"/>
      <c r="L336" s="88" t="s">
        <v>460</v>
      </c>
    </row>
    <row r="337">
      <c r="J337" s="88"/>
      <c r="K337" s="88"/>
      <c r="L337" s="88" t="s">
        <v>460</v>
      </c>
    </row>
    <row r="338">
      <c r="J338" s="88"/>
      <c r="K338" s="88"/>
      <c r="L338" s="88" t="s">
        <v>460</v>
      </c>
    </row>
    <row r="339">
      <c r="J339" s="88"/>
      <c r="K339" s="88"/>
      <c r="L339" s="88" t="s">
        <v>460</v>
      </c>
    </row>
    <row r="340">
      <c r="J340" s="88"/>
      <c r="K340" s="88"/>
      <c r="L340" s="88" t="s">
        <v>460</v>
      </c>
    </row>
    <row r="341">
      <c r="J341" s="88"/>
      <c r="K341" s="88"/>
      <c r="L341" s="88" t="s">
        <v>460</v>
      </c>
    </row>
    <row r="342">
      <c r="J342" s="88"/>
      <c r="K342" s="88"/>
      <c r="L342" s="88" t="s">
        <v>460</v>
      </c>
    </row>
    <row r="343">
      <c r="J343" s="88"/>
      <c r="K343" s="88"/>
      <c r="L343" s="88" t="s">
        <v>460</v>
      </c>
    </row>
    <row r="344">
      <c r="J344" s="88"/>
      <c r="K344" s="88"/>
      <c r="L344" s="88" t="s">
        <v>460</v>
      </c>
    </row>
    <row r="345">
      <c r="J345" s="88"/>
      <c r="K345" s="88"/>
      <c r="L345" s="88" t="s">
        <v>460</v>
      </c>
    </row>
    <row r="346">
      <c r="J346" s="88"/>
      <c r="K346" s="88"/>
      <c r="L346" s="88" t="s">
        <v>460</v>
      </c>
    </row>
    <row r="347">
      <c r="J347" s="88"/>
      <c r="K347" s="88"/>
      <c r="L347" s="88" t="s">
        <v>460</v>
      </c>
    </row>
    <row r="348">
      <c r="J348" s="88"/>
      <c r="K348" s="88"/>
      <c r="L348" s="88" t="s">
        <v>460</v>
      </c>
    </row>
    <row r="349">
      <c r="J349" s="88"/>
      <c r="K349" s="88"/>
      <c r="L349" s="88" t="s">
        <v>460</v>
      </c>
    </row>
    <row r="350">
      <c r="J350" s="88"/>
      <c r="K350" s="88"/>
      <c r="L350" s="88" t="s">
        <v>460</v>
      </c>
    </row>
    <row r="351">
      <c r="J351" s="88"/>
      <c r="K351" s="88"/>
      <c r="L351" s="88" t="s">
        <v>460</v>
      </c>
    </row>
    <row r="352">
      <c r="J352" s="88"/>
      <c r="K352" s="88"/>
      <c r="L352" s="88" t="s">
        <v>460</v>
      </c>
    </row>
    <row r="353">
      <c r="J353" s="88"/>
      <c r="K353" s="88"/>
      <c r="L353" s="88" t="s">
        <v>460</v>
      </c>
    </row>
    <row r="354">
      <c r="J354" s="88"/>
      <c r="K354" s="88"/>
      <c r="L354" s="88" t="s">
        <v>460</v>
      </c>
    </row>
    <row r="355">
      <c r="J355" s="88"/>
      <c r="K355" s="88"/>
      <c r="L355" s="88" t="s">
        <v>460</v>
      </c>
    </row>
    <row r="356">
      <c r="J356" s="88"/>
      <c r="K356" s="88"/>
      <c r="L356" s="88" t="s">
        <v>460</v>
      </c>
    </row>
    <row r="357">
      <c r="J357" s="88"/>
      <c r="K357" s="88"/>
      <c r="L357" s="88" t="s">
        <v>460</v>
      </c>
    </row>
    <row r="358">
      <c r="J358" s="88"/>
      <c r="K358" s="88"/>
      <c r="L358" s="88" t="s">
        <v>460</v>
      </c>
    </row>
    <row r="359">
      <c r="J359" s="88"/>
      <c r="K359" s="88"/>
      <c r="L359" s="88" t="s">
        <v>460</v>
      </c>
    </row>
    <row r="360">
      <c r="J360" s="88"/>
      <c r="K360" s="88"/>
      <c r="L360" s="88" t="s">
        <v>460</v>
      </c>
    </row>
    <row r="361">
      <c r="J361" s="88"/>
      <c r="K361" s="88"/>
      <c r="L361" s="88" t="s">
        <v>460</v>
      </c>
    </row>
    <row r="362">
      <c r="J362" s="88"/>
      <c r="K362" s="88"/>
      <c r="L362" s="88" t="s">
        <v>460</v>
      </c>
    </row>
    <row r="363">
      <c r="J363" s="88"/>
      <c r="K363" s="88"/>
      <c r="L363" s="88" t="s">
        <v>460</v>
      </c>
    </row>
    <row r="364">
      <c r="J364" s="88"/>
      <c r="K364" s="88"/>
      <c r="L364" s="88" t="s">
        <v>460</v>
      </c>
    </row>
    <row r="365">
      <c r="J365" s="88"/>
      <c r="K365" s="88"/>
      <c r="L365" s="88" t="s">
        <v>460</v>
      </c>
    </row>
    <row r="366">
      <c r="J366" s="88"/>
      <c r="K366" s="88"/>
      <c r="L366" s="88" t="s">
        <v>460</v>
      </c>
    </row>
    <row r="367">
      <c r="J367" s="88"/>
      <c r="K367" s="88"/>
      <c r="L367" s="88" t="s">
        <v>460</v>
      </c>
    </row>
    <row r="368">
      <c r="J368" s="88"/>
      <c r="K368" s="88"/>
      <c r="L368" s="88" t="s">
        <v>460</v>
      </c>
    </row>
    <row r="369">
      <c r="J369" s="88"/>
      <c r="K369" s="88"/>
      <c r="L369" s="88" t="s">
        <v>460</v>
      </c>
    </row>
    <row r="370">
      <c r="J370" s="88"/>
      <c r="K370" s="88"/>
      <c r="L370" s="88" t="s">
        <v>460</v>
      </c>
    </row>
    <row r="371">
      <c r="J371" s="88"/>
      <c r="K371" s="88"/>
      <c r="L371" s="88" t="s">
        <v>460</v>
      </c>
    </row>
    <row r="372">
      <c r="J372" s="88"/>
      <c r="K372" s="88"/>
      <c r="L372" s="88" t="s">
        <v>460</v>
      </c>
    </row>
    <row r="373">
      <c r="J373" s="88"/>
      <c r="K373" s="88"/>
      <c r="L373" s="88" t="s">
        <v>460</v>
      </c>
    </row>
    <row r="374">
      <c r="J374" s="88"/>
      <c r="K374" s="88"/>
      <c r="L374" s="88" t="s">
        <v>460</v>
      </c>
    </row>
    <row r="375">
      <c r="J375" s="88"/>
      <c r="K375" s="88"/>
      <c r="L375" s="88" t="s">
        <v>460</v>
      </c>
    </row>
    <row r="376">
      <c r="J376" s="88"/>
      <c r="K376" s="88"/>
      <c r="L376" s="88" t="s">
        <v>460</v>
      </c>
    </row>
    <row r="377">
      <c r="J377" s="88"/>
      <c r="K377" s="88"/>
      <c r="L377" s="88" t="s">
        <v>460</v>
      </c>
    </row>
    <row r="378">
      <c r="J378" s="88"/>
      <c r="K378" s="88"/>
      <c r="L378" s="88" t="s">
        <v>460</v>
      </c>
    </row>
    <row r="379">
      <c r="J379" s="88"/>
      <c r="K379" s="88"/>
      <c r="L379" s="88" t="s">
        <v>460</v>
      </c>
    </row>
    <row r="380">
      <c r="J380" s="88"/>
      <c r="K380" s="88"/>
      <c r="L380" s="88" t="s">
        <v>460</v>
      </c>
    </row>
    <row r="381">
      <c r="J381" s="88"/>
      <c r="K381" s="88"/>
      <c r="L381" s="88" t="s">
        <v>460</v>
      </c>
    </row>
    <row r="382">
      <c r="J382" s="88"/>
      <c r="K382" s="88"/>
      <c r="L382" s="88" t="s">
        <v>460</v>
      </c>
    </row>
    <row r="383">
      <c r="J383" s="88"/>
      <c r="K383" s="88"/>
      <c r="L383" s="88" t="s">
        <v>460</v>
      </c>
    </row>
    <row r="384">
      <c r="J384" s="88"/>
      <c r="K384" s="88"/>
      <c r="L384" s="88" t="s">
        <v>460</v>
      </c>
    </row>
    <row r="385">
      <c r="J385" s="88"/>
      <c r="K385" s="88"/>
      <c r="L385" s="88" t="s">
        <v>460</v>
      </c>
    </row>
    <row r="386">
      <c r="J386" s="88"/>
      <c r="K386" s="88"/>
      <c r="L386" s="88" t="s">
        <v>460</v>
      </c>
    </row>
    <row r="387">
      <c r="J387" s="88"/>
      <c r="K387" s="88"/>
      <c r="L387" s="88" t="s">
        <v>460</v>
      </c>
    </row>
    <row r="388">
      <c r="J388" s="88"/>
      <c r="K388" s="88"/>
      <c r="L388" s="88" t="s">
        <v>460</v>
      </c>
    </row>
    <row r="389">
      <c r="J389" s="88"/>
      <c r="K389" s="88"/>
      <c r="L389" s="88" t="s">
        <v>460</v>
      </c>
    </row>
    <row r="390">
      <c r="J390" s="88"/>
      <c r="K390" s="88"/>
      <c r="L390" s="88" t="s">
        <v>460</v>
      </c>
    </row>
    <row r="391">
      <c r="J391" s="88"/>
      <c r="K391" s="88"/>
      <c r="L391" s="88" t="s">
        <v>460</v>
      </c>
    </row>
    <row r="392">
      <c r="J392" s="88"/>
      <c r="K392" s="88"/>
      <c r="L392" s="88" t="s">
        <v>460</v>
      </c>
    </row>
    <row r="393">
      <c r="J393" s="88"/>
      <c r="K393" s="88"/>
      <c r="L393" s="88" t="s">
        <v>460</v>
      </c>
    </row>
    <row r="394">
      <c r="J394" s="88"/>
      <c r="K394" s="88"/>
      <c r="L394" s="88" t="s">
        <v>460</v>
      </c>
    </row>
    <row r="395">
      <c r="J395" s="88"/>
      <c r="K395" s="88"/>
      <c r="L395" s="88" t="s">
        <v>460</v>
      </c>
    </row>
    <row r="396">
      <c r="J396" s="88"/>
      <c r="K396" s="88"/>
      <c r="L396" s="88" t="s">
        <v>460</v>
      </c>
    </row>
    <row r="397">
      <c r="J397" s="88"/>
      <c r="K397" s="88"/>
      <c r="L397" s="88" t="s">
        <v>460</v>
      </c>
    </row>
    <row r="398">
      <c r="J398" s="88"/>
      <c r="K398" s="88"/>
      <c r="L398" s="88" t="s">
        <v>460</v>
      </c>
    </row>
    <row r="399">
      <c r="J399" s="88"/>
      <c r="K399" s="88"/>
      <c r="L399" s="88" t="s">
        <v>460</v>
      </c>
    </row>
    <row r="400">
      <c r="J400" s="88"/>
      <c r="K400" s="88"/>
      <c r="L400" s="88" t="s">
        <v>460</v>
      </c>
    </row>
    <row r="401">
      <c r="J401" s="88"/>
      <c r="K401" s="88"/>
      <c r="L401" s="88" t="s">
        <v>460</v>
      </c>
    </row>
    <row r="402">
      <c r="J402" s="88"/>
      <c r="K402" s="88"/>
      <c r="L402" s="88" t="s">
        <v>460</v>
      </c>
    </row>
    <row r="403">
      <c r="J403" s="88"/>
      <c r="K403" s="88"/>
      <c r="L403" s="88" t="s">
        <v>460</v>
      </c>
    </row>
    <row r="404">
      <c r="J404" s="88"/>
      <c r="K404" s="88"/>
      <c r="L404" s="88" t="s">
        <v>460</v>
      </c>
    </row>
    <row r="405">
      <c r="J405" s="88"/>
      <c r="K405" s="88"/>
      <c r="L405" s="88" t="s">
        <v>460</v>
      </c>
    </row>
    <row r="406">
      <c r="J406" s="88"/>
      <c r="K406" s="88"/>
      <c r="L406" s="88" t="s">
        <v>460</v>
      </c>
    </row>
    <row r="407">
      <c r="J407" s="88"/>
      <c r="K407" s="88"/>
      <c r="L407" s="88" t="s">
        <v>460</v>
      </c>
    </row>
    <row r="408">
      <c r="J408" s="88"/>
      <c r="K408" s="88"/>
      <c r="L408" s="88" t="s">
        <v>460</v>
      </c>
    </row>
    <row r="409">
      <c r="J409" s="88"/>
      <c r="K409" s="88"/>
      <c r="L409" s="88" t="s">
        <v>460</v>
      </c>
    </row>
    <row r="410">
      <c r="J410" s="88"/>
      <c r="K410" s="88"/>
      <c r="L410" s="88" t="s">
        <v>460</v>
      </c>
    </row>
    <row r="411">
      <c r="J411" s="88"/>
      <c r="K411" s="88"/>
      <c r="L411" s="88" t="s">
        <v>460</v>
      </c>
    </row>
    <row r="412">
      <c r="J412" s="88"/>
      <c r="K412" s="88"/>
      <c r="L412" s="88" t="s">
        <v>460</v>
      </c>
    </row>
    <row r="413">
      <c r="J413" s="88"/>
      <c r="K413" s="88"/>
      <c r="L413" s="88" t="s">
        <v>460</v>
      </c>
    </row>
    <row r="414">
      <c r="J414" s="88"/>
      <c r="K414" s="88"/>
      <c r="L414" s="88" t="s">
        <v>460</v>
      </c>
    </row>
    <row r="415">
      <c r="J415" s="88"/>
      <c r="K415" s="88"/>
      <c r="L415" s="88" t="s">
        <v>460</v>
      </c>
    </row>
    <row r="416">
      <c r="J416" s="88"/>
      <c r="K416" s="88"/>
      <c r="L416" s="88" t="s">
        <v>460</v>
      </c>
    </row>
    <row r="417">
      <c r="J417" s="88"/>
      <c r="K417" s="88"/>
      <c r="L417" s="88" t="s">
        <v>460</v>
      </c>
    </row>
    <row r="418">
      <c r="J418" s="88"/>
      <c r="K418" s="88"/>
      <c r="L418" s="88" t="s">
        <v>460</v>
      </c>
    </row>
    <row r="419">
      <c r="J419" s="88"/>
      <c r="K419" s="88"/>
      <c r="L419" s="88" t="s">
        <v>460</v>
      </c>
    </row>
    <row r="420">
      <c r="J420" s="88"/>
      <c r="K420" s="88"/>
      <c r="L420" s="88" t="s">
        <v>460</v>
      </c>
    </row>
    <row r="421">
      <c r="J421" s="88"/>
      <c r="K421" s="88"/>
      <c r="L421" s="88" t="s">
        <v>460</v>
      </c>
    </row>
    <row r="422">
      <c r="J422" s="88"/>
      <c r="K422" s="88"/>
      <c r="L422" s="88" t="s">
        <v>460</v>
      </c>
    </row>
    <row r="423">
      <c r="J423" s="88"/>
      <c r="K423" s="88"/>
      <c r="L423" s="88" t="s">
        <v>460</v>
      </c>
    </row>
    <row r="424">
      <c r="J424" s="88"/>
      <c r="K424" s="88"/>
      <c r="L424" s="88" t="s">
        <v>460</v>
      </c>
    </row>
    <row r="425">
      <c r="J425" s="88"/>
      <c r="K425" s="88"/>
      <c r="L425" s="88" t="s">
        <v>460</v>
      </c>
    </row>
    <row r="426">
      <c r="J426" s="88"/>
      <c r="K426" s="88"/>
      <c r="L426" s="88" t="s">
        <v>460</v>
      </c>
    </row>
    <row r="427">
      <c r="J427" s="88"/>
      <c r="K427" s="88"/>
      <c r="L427" s="88" t="s">
        <v>460</v>
      </c>
    </row>
    <row r="428">
      <c r="J428" s="88"/>
      <c r="K428" s="88"/>
      <c r="L428" s="88" t="s">
        <v>460</v>
      </c>
    </row>
    <row r="429">
      <c r="J429" s="88"/>
      <c r="K429" s="88"/>
      <c r="L429" s="88" t="s">
        <v>460</v>
      </c>
    </row>
    <row r="430">
      <c r="J430" s="88"/>
      <c r="K430" s="88"/>
      <c r="L430" s="88" t="s">
        <v>460</v>
      </c>
    </row>
    <row r="431">
      <c r="J431" s="88"/>
      <c r="K431" s="88"/>
      <c r="L431" s="88" t="s">
        <v>460</v>
      </c>
    </row>
    <row r="432">
      <c r="J432" s="88"/>
      <c r="K432" s="88"/>
      <c r="L432" s="88" t="s">
        <v>460</v>
      </c>
    </row>
    <row r="433">
      <c r="J433" s="88"/>
      <c r="K433" s="88"/>
      <c r="L433" s="88" t="s">
        <v>460</v>
      </c>
    </row>
    <row r="434">
      <c r="J434" s="88"/>
      <c r="K434" s="88"/>
      <c r="L434" s="88" t="s">
        <v>460</v>
      </c>
    </row>
    <row r="435">
      <c r="J435" s="88"/>
      <c r="K435" s="88"/>
      <c r="L435" s="88" t="s">
        <v>460</v>
      </c>
    </row>
    <row r="436">
      <c r="J436" s="88"/>
      <c r="K436" s="88"/>
      <c r="L436" s="88" t="s">
        <v>460</v>
      </c>
    </row>
    <row r="437">
      <c r="J437" s="88"/>
      <c r="K437" s="88"/>
      <c r="L437" s="88" t="s">
        <v>460</v>
      </c>
    </row>
    <row r="438">
      <c r="J438" s="88"/>
      <c r="K438" s="88"/>
      <c r="L438" s="88" t="s">
        <v>460</v>
      </c>
    </row>
    <row r="439">
      <c r="J439" s="88"/>
      <c r="K439" s="88"/>
      <c r="L439" s="88" t="s">
        <v>460</v>
      </c>
    </row>
    <row r="440">
      <c r="J440" s="88"/>
      <c r="K440" s="88"/>
      <c r="L440" s="88" t="s">
        <v>460</v>
      </c>
    </row>
    <row r="441">
      <c r="J441" s="88"/>
      <c r="K441" s="88"/>
      <c r="L441" s="88" t="s">
        <v>460</v>
      </c>
    </row>
    <row r="442">
      <c r="J442" s="88"/>
      <c r="K442" s="88"/>
      <c r="L442" s="88" t="s">
        <v>460</v>
      </c>
    </row>
    <row r="443">
      <c r="J443" s="88"/>
      <c r="K443" s="88"/>
      <c r="L443" s="88" t="s">
        <v>460</v>
      </c>
    </row>
    <row r="444">
      <c r="J444" s="88"/>
      <c r="K444" s="88"/>
      <c r="L444" s="88" t="s">
        <v>460</v>
      </c>
    </row>
    <row r="445">
      <c r="J445" s="88"/>
      <c r="K445" s="88"/>
      <c r="L445" s="88" t="s">
        <v>460</v>
      </c>
    </row>
    <row r="446">
      <c r="J446" s="88"/>
      <c r="K446" s="88"/>
      <c r="L446" s="88" t="s">
        <v>460</v>
      </c>
    </row>
    <row r="447">
      <c r="J447" s="88"/>
      <c r="K447" s="88"/>
      <c r="L447" s="88" t="s">
        <v>460</v>
      </c>
    </row>
    <row r="448">
      <c r="J448" s="88"/>
      <c r="K448" s="88"/>
      <c r="L448" s="88" t="s">
        <v>460</v>
      </c>
    </row>
    <row r="449">
      <c r="J449" s="88"/>
      <c r="K449" s="88"/>
      <c r="L449" s="88" t="s">
        <v>460</v>
      </c>
    </row>
    <row r="450">
      <c r="J450" s="88"/>
      <c r="K450" s="88"/>
      <c r="L450" s="88" t="s">
        <v>460</v>
      </c>
    </row>
    <row r="451">
      <c r="J451" s="88"/>
      <c r="K451" s="88"/>
      <c r="L451" s="88" t="s">
        <v>460</v>
      </c>
    </row>
    <row r="452">
      <c r="J452" s="88"/>
      <c r="K452" s="88"/>
      <c r="L452" s="88" t="s">
        <v>460</v>
      </c>
    </row>
    <row r="453">
      <c r="J453" s="88"/>
      <c r="K453" s="88"/>
      <c r="L453" s="88" t="s">
        <v>460</v>
      </c>
    </row>
    <row r="454">
      <c r="J454" s="88"/>
      <c r="K454" s="88"/>
      <c r="L454" s="88" t="s">
        <v>460</v>
      </c>
    </row>
    <row r="455">
      <c r="J455" s="88"/>
      <c r="K455" s="88"/>
      <c r="L455" s="88" t="s">
        <v>460</v>
      </c>
    </row>
    <row r="456">
      <c r="J456" s="88"/>
      <c r="K456" s="88"/>
      <c r="L456" s="88" t="s">
        <v>460</v>
      </c>
    </row>
    <row r="457">
      <c r="J457" s="88"/>
      <c r="K457" s="88"/>
      <c r="L457" s="88" t="s">
        <v>460</v>
      </c>
    </row>
    <row r="458">
      <c r="J458" s="88"/>
      <c r="K458" s="88"/>
      <c r="L458" s="88" t="s">
        <v>460</v>
      </c>
    </row>
    <row r="459">
      <c r="J459" s="88"/>
      <c r="K459" s="88"/>
      <c r="L459" s="88" t="s">
        <v>460</v>
      </c>
    </row>
    <row r="460">
      <c r="J460" s="88"/>
      <c r="K460" s="88"/>
      <c r="L460" s="88" t="s">
        <v>460</v>
      </c>
    </row>
    <row r="461">
      <c r="J461" s="88"/>
      <c r="K461" s="88"/>
      <c r="L461" s="88" t="s">
        <v>460</v>
      </c>
    </row>
    <row r="462">
      <c r="J462" s="88"/>
      <c r="K462" s="88"/>
      <c r="L462" s="88" t="s">
        <v>460</v>
      </c>
    </row>
    <row r="463">
      <c r="J463" s="88"/>
      <c r="K463" s="88"/>
      <c r="L463" s="88" t="s">
        <v>460</v>
      </c>
    </row>
    <row r="464">
      <c r="J464" s="88"/>
      <c r="K464" s="88"/>
      <c r="L464" s="88" t="s">
        <v>460</v>
      </c>
    </row>
    <row r="465">
      <c r="J465" s="88"/>
      <c r="K465" s="88"/>
      <c r="L465" s="88" t="s">
        <v>460</v>
      </c>
    </row>
    <row r="466">
      <c r="J466" s="88"/>
      <c r="K466" s="88"/>
      <c r="L466" s="88" t="s">
        <v>460</v>
      </c>
    </row>
    <row r="467">
      <c r="J467" s="88"/>
      <c r="K467" s="88"/>
      <c r="L467" s="88" t="s">
        <v>460</v>
      </c>
    </row>
    <row r="468">
      <c r="J468" s="88"/>
      <c r="K468" s="88"/>
      <c r="L468" s="88" t="s">
        <v>460</v>
      </c>
    </row>
    <row r="469">
      <c r="J469" s="88"/>
      <c r="K469" s="88"/>
      <c r="L469" s="88" t="s">
        <v>460</v>
      </c>
    </row>
    <row r="470">
      <c r="J470" s="88"/>
      <c r="K470" s="88"/>
      <c r="L470" s="88" t="s">
        <v>460</v>
      </c>
    </row>
    <row r="471">
      <c r="J471" s="88"/>
      <c r="K471" s="88"/>
      <c r="L471" s="88" t="s">
        <v>460</v>
      </c>
    </row>
    <row r="472">
      <c r="J472" s="88"/>
      <c r="K472" s="88"/>
      <c r="L472" s="88" t="s">
        <v>460</v>
      </c>
    </row>
    <row r="473">
      <c r="J473" s="88"/>
      <c r="K473" s="88"/>
      <c r="L473" s="88" t="s">
        <v>460</v>
      </c>
    </row>
    <row r="474">
      <c r="J474" s="88"/>
      <c r="K474" s="88"/>
      <c r="L474" s="88" t="s">
        <v>460</v>
      </c>
    </row>
    <row r="475">
      <c r="J475" s="88"/>
      <c r="K475" s="88"/>
      <c r="L475" s="88" t="s">
        <v>460</v>
      </c>
    </row>
    <row r="476">
      <c r="J476" s="88"/>
      <c r="K476" s="88"/>
      <c r="L476" s="88" t="s">
        <v>460</v>
      </c>
    </row>
    <row r="477">
      <c r="J477" s="88"/>
      <c r="K477" s="88"/>
      <c r="L477" s="88" t="s">
        <v>460</v>
      </c>
    </row>
    <row r="478">
      <c r="J478" s="88"/>
      <c r="K478" s="88"/>
      <c r="L478" s="88" t="s">
        <v>460</v>
      </c>
    </row>
    <row r="479">
      <c r="J479" s="88"/>
      <c r="K479" s="88"/>
      <c r="L479" s="88" t="s">
        <v>460</v>
      </c>
    </row>
    <row r="480">
      <c r="J480" s="88"/>
      <c r="K480" s="88"/>
      <c r="L480" s="88" t="s">
        <v>460</v>
      </c>
    </row>
    <row r="481">
      <c r="J481" s="88"/>
      <c r="K481" s="88"/>
      <c r="L481" s="88" t="s">
        <v>460</v>
      </c>
    </row>
    <row r="482">
      <c r="J482" s="88"/>
      <c r="K482" s="88"/>
      <c r="L482" s="88" t="s">
        <v>460</v>
      </c>
    </row>
    <row r="483">
      <c r="J483" s="88"/>
      <c r="K483" s="88"/>
      <c r="L483" s="88" t="s">
        <v>460</v>
      </c>
    </row>
    <row r="484">
      <c r="J484" s="88"/>
      <c r="K484" s="88"/>
      <c r="L484" s="88" t="s">
        <v>460</v>
      </c>
    </row>
    <row r="485">
      <c r="J485" s="88"/>
      <c r="K485" s="88"/>
      <c r="L485" s="88" t="s">
        <v>460</v>
      </c>
    </row>
    <row r="486">
      <c r="J486" s="88"/>
      <c r="K486" s="88"/>
      <c r="L486" s="88" t="s">
        <v>460</v>
      </c>
    </row>
    <row r="487">
      <c r="J487" s="88"/>
      <c r="K487" s="88"/>
      <c r="L487" s="88" t="s">
        <v>460</v>
      </c>
    </row>
    <row r="488">
      <c r="J488" s="88"/>
      <c r="K488" s="88"/>
      <c r="L488" s="88" t="s">
        <v>460</v>
      </c>
    </row>
    <row r="489">
      <c r="J489" s="88"/>
      <c r="K489" s="88"/>
      <c r="L489" s="88" t="s">
        <v>460</v>
      </c>
    </row>
    <row r="490">
      <c r="J490" s="88"/>
      <c r="K490" s="88"/>
      <c r="L490" s="88" t="s">
        <v>460</v>
      </c>
    </row>
    <row r="491">
      <c r="J491" s="88"/>
      <c r="K491" s="88"/>
      <c r="L491" s="88" t="s">
        <v>460</v>
      </c>
    </row>
    <row r="492">
      <c r="J492" s="88"/>
      <c r="K492" s="88"/>
      <c r="L492" s="88" t="s">
        <v>460</v>
      </c>
    </row>
    <row r="493">
      <c r="J493" s="88"/>
      <c r="K493" s="88"/>
      <c r="L493" s="88" t="s">
        <v>460</v>
      </c>
    </row>
    <row r="494">
      <c r="J494" s="88"/>
      <c r="K494" s="88"/>
      <c r="L494" s="88" t="s">
        <v>460</v>
      </c>
    </row>
    <row r="495">
      <c r="J495" s="88"/>
      <c r="K495" s="88"/>
      <c r="L495" s="88" t="s">
        <v>460</v>
      </c>
    </row>
    <row r="496">
      <c r="J496" s="88"/>
      <c r="K496" s="88"/>
      <c r="L496" s="88" t="s">
        <v>460</v>
      </c>
    </row>
    <row r="497">
      <c r="J497" s="88"/>
      <c r="K497" s="88"/>
      <c r="L497" s="88" t="s">
        <v>460</v>
      </c>
    </row>
    <row r="498">
      <c r="J498" s="88"/>
      <c r="K498" s="88"/>
      <c r="L498" s="88" t="s">
        <v>460</v>
      </c>
    </row>
    <row r="499">
      <c r="J499" s="88"/>
      <c r="K499" s="88"/>
      <c r="L499" s="88" t="s">
        <v>460</v>
      </c>
    </row>
    <row r="500">
      <c r="J500" s="88"/>
      <c r="K500" s="88"/>
      <c r="L500" s="88" t="s">
        <v>460</v>
      </c>
    </row>
    <row r="501">
      <c r="J501" s="88"/>
      <c r="K501" s="88"/>
      <c r="L501" s="88" t="s">
        <v>460</v>
      </c>
    </row>
    <row r="502">
      <c r="J502" s="88"/>
      <c r="K502" s="88"/>
      <c r="L502" s="88" t="s">
        <v>460</v>
      </c>
    </row>
    <row r="503">
      <c r="J503" s="88"/>
      <c r="K503" s="88"/>
      <c r="L503" s="88" t="s">
        <v>460</v>
      </c>
    </row>
    <row r="504">
      <c r="J504" s="88"/>
      <c r="K504" s="88"/>
      <c r="L504" s="88" t="s">
        <v>460</v>
      </c>
    </row>
    <row r="505">
      <c r="J505" s="88"/>
      <c r="K505" s="88"/>
      <c r="L505" s="88" t="s">
        <v>460</v>
      </c>
    </row>
    <row r="506">
      <c r="J506" s="88"/>
      <c r="K506" s="88"/>
      <c r="L506" s="88" t="s">
        <v>460</v>
      </c>
    </row>
    <row r="507">
      <c r="J507" s="88"/>
      <c r="K507" s="88"/>
      <c r="L507" s="88" t="s">
        <v>460</v>
      </c>
    </row>
    <row r="508">
      <c r="J508" s="88"/>
      <c r="K508" s="88"/>
      <c r="L508" s="88" t="s">
        <v>460</v>
      </c>
    </row>
    <row r="509">
      <c r="J509" s="88"/>
      <c r="K509" s="88"/>
      <c r="L509" s="88" t="s">
        <v>460</v>
      </c>
    </row>
    <row r="510">
      <c r="J510" s="88"/>
      <c r="K510" s="88"/>
      <c r="L510" s="88" t="s">
        <v>460</v>
      </c>
    </row>
    <row r="511">
      <c r="J511" s="88"/>
      <c r="K511" s="88"/>
      <c r="L511" s="88" t="s">
        <v>460</v>
      </c>
    </row>
    <row r="512">
      <c r="J512" s="88"/>
      <c r="K512" s="88"/>
      <c r="L512" s="88" t="s">
        <v>460</v>
      </c>
    </row>
    <row r="513">
      <c r="J513" s="88"/>
      <c r="K513" s="88"/>
      <c r="L513" s="88" t="s">
        <v>460</v>
      </c>
    </row>
    <row r="514">
      <c r="J514" s="88"/>
      <c r="K514" s="88"/>
      <c r="L514" s="88" t="s">
        <v>460</v>
      </c>
    </row>
    <row r="515">
      <c r="J515" s="88"/>
      <c r="K515" s="88"/>
      <c r="L515" s="88" t="s">
        <v>460</v>
      </c>
    </row>
    <row r="516">
      <c r="J516" s="88"/>
      <c r="K516" s="88"/>
      <c r="L516" s="88" t="s">
        <v>460</v>
      </c>
    </row>
    <row r="517">
      <c r="J517" s="88"/>
      <c r="K517" s="88"/>
      <c r="L517" s="88" t="s">
        <v>460</v>
      </c>
    </row>
    <row r="518">
      <c r="J518" s="88"/>
      <c r="K518" s="88"/>
      <c r="L518" s="88" t="s">
        <v>460</v>
      </c>
    </row>
    <row r="519">
      <c r="J519" s="88"/>
      <c r="K519" s="88"/>
      <c r="L519" s="88" t="s">
        <v>460</v>
      </c>
    </row>
    <row r="520">
      <c r="J520" s="88"/>
      <c r="K520" s="88"/>
      <c r="L520" s="88" t="s">
        <v>460</v>
      </c>
    </row>
    <row r="521">
      <c r="J521" s="88"/>
      <c r="K521" s="88"/>
      <c r="L521" s="88" t="s">
        <v>460</v>
      </c>
    </row>
    <row r="522">
      <c r="J522" s="88"/>
      <c r="K522" s="88"/>
      <c r="L522" s="88" t="s">
        <v>460</v>
      </c>
    </row>
    <row r="523">
      <c r="J523" s="88"/>
      <c r="K523" s="88"/>
      <c r="L523" s="88" t="s">
        <v>460</v>
      </c>
    </row>
    <row r="524">
      <c r="J524" s="88"/>
      <c r="K524" s="88"/>
      <c r="L524" s="88" t="s">
        <v>460</v>
      </c>
    </row>
    <row r="525">
      <c r="J525" s="88"/>
      <c r="K525" s="88"/>
      <c r="L525" s="88" t="s">
        <v>460</v>
      </c>
    </row>
    <row r="526">
      <c r="J526" s="88"/>
      <c r="K526" s="88"/>
      <c r="L526" s="88" t="s">
        <v>460</v>
      </c>
    </row>
    <row r="527">
      <c r="J527" s="88"/>
      <c r="K527" s="88"/>
      <c r="L527" s="88" t="s">
        <v>460</v>
      </c>
    </row>
    <row r="528">
      <c r="J528" s="88"/>
      <c r="K528" s="88"/>
      <c r="L528" s="88" t="s">
        <v>460</v>
      </c>
    </row>
    <row r="529">
      <c r="J529" s="88"/>
      <c r="K529" s="88"/>
      <c r="L529" s="88" t="s">
        <v>460</v>
      </c>
    </row>
    <row r="530">
      <c r="J530" s="88"/>
      <c r="K530" s="88"/>
      <c r="L530" s="88" t="s">
        <v>460</v>
      </c>
    </row>
    <row r="531">
      <c r="J531" s="88"/>
      <c r="K531" s="88"/>
      <c r="L531" s="88" t="s">
        <v>460</v>
      </c>
    </row>
    <row r="532">
      <c r="J532" s="88"/>
      <c r="K532" s="88"/>
      <c r="L532" s="88" t="s">
        <v>460</v>
      </c>
    </row>
    <row r="533">
      <c r="J533" s="88"/>
      <c r="K533" s="88"/>
      <c r="L533" s="88" t="s">
        <v>460</v>
      </c>
    </row>
    <row r="534">
      <c r="J534" s="88"/>
      <c r="K534" s="88"/>
      <c r="L534" s="88" t="s">
        <v>460</v>
      </c>
    </row>
    <row r="535">
      <c r="J535" s="88"/>
      <c r="K535" s="88"/>
      <c r="L535" s="88" t="s">
        <v>460</v>
      </c>
    </row>
    <row r="536">
      <c r="J536" s="88"/>
      <c r="K536" s="88"/>
      <c r="L536" s="88" t="s">
        <v>460</v>
      </c>
    </row>
    <row r="537">
      <c r="J537" s="88"/>
      <c r="K537" s="88"/>
      <c r="L537" s="88" t="s">
        <v>460</v>
      </c>
    </row>
    <row r="538">
      <c r="J538" s="88"/>
      <c r="K538" s="88"/>
      <c r="L538" s="88" t="s">
        <v>460</v>
      </c>
    </row>
    <row r="539">
      <c r="J539" s="88"/>
      <c r="K539" s="88"/>
      <c r="L539" s="88" t="s">
        <v>460</v>
      </c>
    </row>
    <row r="540">
      <c r="J540" s="88"/>
      <c r="K540" s="88"/>
      <c r="L540" s="88" t="s">
        <v>460</v>
      </c>
    </row>
    <row r="541">
      <c r="J541" s="88"/>
      <c r="K541" s="88"/>
      <c r="L541" s="88" t="s">
        <v>460</v>
      </c>
    </row>
    <row r="542">
      <c r="J542" s="88"/>
      <c r="K542" s="88"/>
      <c r="L542" s="88" t="s">
        <v>460</v>
      </c>
    </row>
    <row r="543">
      <c r="J543" s="88"/>
      <c r="K543" s="88"/>
      <c r="L543" s="88" t="s">
        <v>460</v>
      </c>
    </row>
    <row r="544">
      <c r="J544" s="88"/>
      <c r="K544" s="88"/>
      <c r="L544" s="88" t="s">
        <v>460</v>
      </c>
    </row>
    <row r="545">
      <c r="J545" s="88"/>
      <c r="K545" s="88"/>
      <c r="L545" s="88" t="s">
        <v>460</v>
      </c>
    </row>
    <row r="546">
      <c r="J546" s="88"/>
      <c r="K546" s="88"/>
      <c r="L546" s="88" t="s">
        <v>460</v>
      </c>
    </row>
    <row r="547">
      <c r="J547" s="88"/>
      <c r="K547" s="88"/>
      <c r="L547" s="88" t="s">
        <v>460</v>
      </c>
    </row>
    <row r="548">
      <c r="J548" s="88"/>
      <c r="K548" s="88"/>
      <c r="L548" s="88" t="s">
        <v>460</v>
      </c>
    </row>
    <row r="549">
      <c r="J549" s="88"/>
      <c r="K549" s="88"/>
      <c r="L549" s="88" t="s">
        <v>460</v>
      </c>
    </row>
    <row r="550">
      <c r="J550" s="88"/>
      <c r="K550" s="88"/>
      <c r="L550" s="88" t="s">
        <v>460</v>
      </c>
    </row>
    <row r="551">
      <c r="J551" s="88"/>
      <c r="K551" s="88"/>
      <c r="L551" s="88" t="s">
        <v>460</v>
      </c>
    </row>
    <row r="552">
      <c r="J552" s="88"/>
      <c r="K552" s="88"/>
      <c r="L552" s="88" t="s">
        <v>460</v>
      </c>
    </row>
    <row r="553">
      <c r="J553" s="88"/>
      <c r="K553" s="88"/>
      <c r="L553" s="88" t="s">
        <v>460</v>
      </c>
    </row>
    <row r="554">
      <c r="J554" s="88"/>
      <c r="K554" s="88"/>
      <c r="L554" s="88" t="s">
        <v>460</v>
      </c>
    </row>
    <row r="555">
      <c r="J555" s="88"/>
      <c r="K555" s="88"/>
      <c r="L555" s="88" t="s">
        <v>460</v>
      </c>
    </row>
    <row r="556">
      <c r="J556" s="88"/>
      <c r="K556" s="88"/>
      <c r="L556" s="88" t="s">
        <v>460</v>
      </c>
    </row>
    <row r="557">
      <c r="J557" s="88"/>
      <c r="K557" s="88"/>
      <c r="L557" s="88" t="s">
        <v>460</v>
      </c>
    </row>
    <row r="558">
      <c r="J558" s="88"/>
      <c r="K558" s="88"/>
      <c r="L558" s="88" t="s">
        <v>460</v>
      </c>
    </row>
    <row r="559">
      <c r="J559" s="88"/>
      <c r="K559" s="88"/>
      <c r="L559" s="88" t="s">
        <v>460</v>
      </c>
    </row>
    <row r="560">
      <c r="J560" s="88"/>
      <c r="K560" s="88"/>
      <c r="L560" s="88" t="s">
        <v>460</v>
      </c>
    </row>
    <row r="561">
      <c r="J561" s="88"/>
      <c r="K561" s="88"/>
      <c r="L561" s="88" t="s">
        <v>460</v>
      </c>
    </row>
    <row r="562">
      <c r="J562" s="88"/>
      <c r="K562" s="88"/>
      <c r="L562" s="88" t="s">
        <v>460</v>
      </c>
    </row>
    <row r="563">
      <c r="J563" s="88"/>
      <c r="K563" s="88"/>
      <c r="L563" s="88" t="s">
        <v>460</v>
      </c>
    </row>
    <row r="564">
      <c r="J564" s="88"/>
      <c r="K564" s="88"/>
      <c r="L564" s="88" t="s">
        <v>460</v>
      </c>
    </row>
    <row r="565">
      <c r="J565" s="88"/>
      <c r="K565" s="88"/>
      <c r="L565" s="88" t="s">
        <v>460</v>
      </c>
    </row>
    <row r="566">
      <c r="J566" s="88"/>
      <c r="K566" s="88"/>
      <c r="L566" s="88" t="s">
        <v>460</v>
      </c>
    </row>
    <row r="567">
      <c r="J567" s="88"/>
      <c r="K567" s="88"/>
      <c r="L567" s="88" t="s">
        <v>460</v>
      </c>
    </row>
    <row r="568">
      <c r="J568" s="88"/>
      <c r="K568" s="88"/>
      <c r="L568" s="88" t="s">
        <v>460</v>
      </c>
    </row>
    <row r="569">
      <c r="J569" s="88"/>
      <c r="K569" s="88"/>
      <c r="L569" s="88" t="s">
        <v>460</v>
      </c>
    </row>
    <row r="570">
      <c r="J570" s="88"/>
      <c r="K570" s="88"/>
      <c r="L570" s="88" t="s">
        <v>460</v>
      </c>
    </row>
    <row r="571">
      <c r="J571" s="88"/>
      <c r="K571" s="88"/>
      <c r="L571" s="88" t="s">
        <v>460</v>
      </c>
    </row>
    <row r="572">
      <c r="J572" s="88"/>
      <c r="K572" s="88"/>
      <c r="L572" s="88" t="s">
        <v>460</v>
      </c>
    </row>
    <row r="573">
      <c r="J573" s="88"/>
      <c r="K573" s="88"/>
      <c r="L573" s="88" t="s">
        <v>460</v>
      </c>
    </row>
    <row r="574">
      <c r="J574" s="88"/>
      <c r="K574" s="88"/>
      <c r="L574" s="88" t="s">
        <v>460</v>
      </c>
    </row>
    <row r="575">
      <c r="J575" s="88"/>
      <c r="K575" s="88"/>
      <c r="L575" s="88" t="s">
        <v>460</v>
      </c>
    </row>
    <row r="576">
      <c r="J576" s="88"/>
      <c r="K576" s="88"/>
      <c r="L576" s="88" t="s">
        <v>460</v>
      </c>
    </row>
    <row r="577">
      <c r="J577" s="88"/>
      <c r="K577" s="88"/>
      <c r="L577" s="88" t="s">
        <v>460</v>
      </c>
    </row>
    <row r="578">
      <c r="J578" s="88"/>
      <c r="K578" s="88"/>
      <c r="L578" s="88" t="s">
        <v>460</v>
      </c>
    </row>
    <row r="579">
      <c r="J579" s="88"/>
      <c r="K579" s="88"/>
      <c r="L579" s="88" t="s">
        <v>460</v>
      </c>
    </row>
    <row r="580">
      <c r="J580" s="88"/>
      <c r="K580" s="88"/>
      <c r="L580" s="88" t="s">
        <v>460</v>
      </c>
    </row>
    <row r="581">
      <c r="J581" s="88"/>
      <c r="K581" s="88"/>
      <c r="L581" s="88" t="s">
        <v>460</v>
      </c>
    </row>
    <row r="582">
      <c r="J582" s="88"/>
      <c r="K582" s="88"/>
      <c r="L582" s="88" t="s">
        <v>460</v>
      </c>
    </row>
    <row r="583">
      <c r="J583" s="88"/>
      <c r="K583" s="88"/>
      <c r="L583" s="88" t="s">
        <v>460</v>
      </c>
    </row>
    <row r="584">
      <c r="J584" s="88"/>
      <c r="K584" s="88"/>
      <c r="L584" s="88" t="s">
        <v>460</v>
      </c>
    </row>
    <row r="585">
      <c r="J585" s="88"/>
      <c r="K585" s="88"/>
      <c r="L585" s="88" t="s">
        <v>460</v>
      </c>
    </row>
    <row r="586">
      <c r="J586" s="88"/>
      <c r="K586" s="88"/>
      <c r="L586" s="88" t="s">
        <v>460</v>
      </c>
    </row>
    <row r="587">
      <c r="J587" s="88"/>
      <c r="K587" s="88"/>
      <c r="L587" s="88" t="s">
        <v>460</v>
      </c>
    </row>
    <row r="588">
      <c r="J588" s="88"/>
      <c r="K588" s="88"/>
      <c r="L588" s="88" t="s">
        <v>460</v>
      </c>
    </row>
    <row r="589">
      <c r="J589" s="88"/>
      <c r="K589" s="88"/>
      <c r="L589" s="88" t="s">
        <v>460</v>
      </c>
    </row>
    <row r="590">
      <c r="J590" s="88"/>
      <c r="K590" s="88"/>
      <c r="L590" s="88" t="s">
        <v>460</v>
      </c>
    </row>
    <row r="591">
      <c r="J591" s="88"/>
      <c r="K591" s="88"/>
      <c r="L591" s="88" t="s">
        <v>460</v>
      </c>
    </row>
    <row r="592">
      <c r="J592" s="88"/>
      <c r="K592" s="88"/>
      <c r="L592" s="88" t="s">
        <v>460</v>
      </c>
    </row>
    <row r="593">
      <c r="J593" s="88"/>
      <c r="K593" s="88"/>
      <c r="L593" s="88" t="s">
        <v>460</v>
      </c>
    </row>
    <row r="594">
      <c r="J594" s="88"/>
      <c r="K594" s="88"/>
      <c r="L594" s="88" t="s">
        <v>460</v>
      </c>
    </row>
    <row r="595">
      <c r="J595" s="88"/>
      <c r="K595" s="88"/>
      <c r="L595" s="88" t="s">
        <v>460</v>
      </c>
    </row>
    <row r="596">
      <c r="J596" s="88"/>
      <c r="K596" s="88"/>
      <c r="L596" s="88" t="s">
        <v>460</v>
      </c>
    </row>
    <row r="597">
      <c r="J597" s="88"/>
      <c r="K597" s="88"/>
      <c r="L597" s="88" t="s">
        <v>460</v>
      </c>
    </row>
    <row r="598">
      <c r="J598" s="88"/>
      <c r="K598" s="88"/>
      <c r="L598" s="88" t="s">
        <v>460</v>
      </c>
    </row>
    <row r="599">
      <c r="J599" s="88"/>
      <c r="K599" s="88"/>
      <c r="L599" s="88" t="s">
        <v>460</v>
      </c>
    </row>
    <row r="600">
      <c r="J600" s="88"/>
      <c r="K600" s="88"/>
      <c r="L600" s="88" t="s">
        <v>460</v>
      </c>
    </row>
    <row r="601">
      <c r="J601" s="88"/>
      <c r="K601" s="88"/>
      <c r="L601" s="88" t="s">
        <v>460</v>
      </c>
    </row>
    <row r="602">
      <c r="J602" s="88"/>
      <c r="K602" s="88"/>
      <c r="L602" s="88" t="s">
        <v>460</v>
      </c>
    </row>
    <row r="603">
      <c r="J603" s="88"/>
      <c r="K603" s="88"/>
      <c r="L603" s="88" t="s">
        <v>460</v>
      </c>
    </row>
    <row r="604">
      <c r="J604" s="88"/>
      <c r="K604" s="88"/>
      <c r="L604" s="88" t="s">
        <v>460</v>
      </c>
    </row>
    <row r="605">
      <c r="J605" s="88"/>
      <c r="K605" s="88"/>
      <c r="L605" s="88" t="s">
        <v>460</v>
      </c>
    </row>
    <row r="606">
      <c r="J606" s="88"/>
      <c r="K606" s="88"/>
      <c r="L606" s="88" t="s">
        <v>460</v>
      </c>
    </row>
    <row r="607">
      <c r="J607" s="88"/>
      <c r="K607" s="88"/>
      <c r="L607" s="88" t="s">
        <v>460</v>
      </c>
    </row>
    <row r="608">
      <c r="J608" s="88"/>
      <c r="K608" s="88"/>
      <c r="L608" s="88" t="s">
        <v>460</v>
      </c>
    </row>
    <row r="609">
      <c r="J609" s="88"/>
      <c r="K609" s="88"/>
      <c r="L609" s="88" t="s">
        <v>460</v>
      </c>
    </row>
    <row r="610">
      <c r="J610" s="88"/>
      <c r="K610" s="88"/>
      <c r="L610" s="88" t="s">
        <v>460</v>
      </c>
    </row>
    <row r="611">
      <c r="J611" s="88"/>
      <c r="K611" s="88"/>
      <c r="L611" s="88" t="s">
        <v>460</v>
      </c>
    </row>
    <row r="612">
      <c r="J612" s="88"/>
      <c r="K612" s="88"/>
      <c r="L612" s="88" t="s">
        <v>460</v>
      </c>
    </row>
    <row r="613">
      <c r="J613" s="88"/>
      <c r="K613" s="88"/>
      <c r="L613" s="88" t="s">
        <v>460</v>
      </c>
    </row>
    <row r="614">
      <c r="J614" s="88"/>
      <c r="K614" s="88"/>
      <c r="L614" s="88" t="s">
        <v>460</v>
      </c>
    </row>
    <row r="615">
      <c r="J615" s="88"/>
      <c r="K615" s="88"/>
      <c r="L615" s="88" t="s">
        <v>460</v>
      </c>
    </row>
    <row r="616">
      <c r="J616" s="88"/>
      <c r="K616" s="88"/>
      <c r="L616" s="88" t="s">
        <v>460</v>
      </c>
    </row>
    <row r="617">
      <c r="J617" s="88"/>
      <c r="K617" s="88"/>
      <c r="L617" s="88" t="s">
        <v>460</v>
      </c>
    </row>
    <row r="618">
      <c r="J618" s="88"/>
      <c r="K618" s="88"/>
      <c r="L618" s="88" t="s">
        <v>460</v>
      </c>
    </row>
    <row r="619">
      <c r="J619" s="88"/>
      <c r="K619" s="88"/>
      <c r="L619" s="88" t="s">
        <v>460</v>
      </c>
    </row>
    <row r="620">
      <c r="J620" s="88"/>
      <c r="K620" s="88"/>
      <c r="L620" s="88" t="s">
        <v>460</v>
      </c>
    </row>
    <row r="621">
      <c r="J621" s="88"/>
      <c r="K621" s="88"/>
      <c r="L621" s="88" t="s">
        <v>460</v>
      </c>
    </row>
    <row r="622">
      <c r="J622" s="88"/>
      <c r="K622" s="88"/>
      <c r="L622" s="88" t="s">
        <v>460</v>
      </c>
    </row>
    <row r="623">
      <c r="J623" s="88"/>
      <c r="K623" s="88"/>
      <c r="L623" s="88" t="s">
        <v>460</v>
      </c>
    </row>
    <row r="624">
      <c r="J624" s="88"/>
      <c r="K624" s="88"/>
      <c r="L624" s="88" t="s">
        <v>460</v>
      </c>
    </row>
    <row r="625">
      <c r="J625" s="88"/>
      <c r="K625" s="88"/>
      <c r="L625" s="88" t="s">
        <v>460</v>
      </c>
    </row>
    <row r="626">
      <c r="J626" s="88"/>
      <c r="K626" s="88"/>
      <c r="L626" s="88" t="s">
        <v>460</v>
      </c>
    </row>
    <row r="627">
      <c r="J627" s="88"/>
      <c r="K627" s="88"/>
      <c r="L627" s="88" t="s">
        <v>460</v>
      </c>
    </row>
    <row r="628">
      <c r="J628" s="88"/>
      <c r="K628" s="88"/>
      <c r="L628" s="88" t="s">
        <v>460</v>
      </c>
    </row>
    <row r="629">
      <c r="J629" s="88"/>
      <c r="K629" s="88"/>
      <c r="L629" s="88" t="s">
        <v>460</v>
      </c>
    </row>
    <row r="630">
      <c r="J630" s="88"/>
      <c r="K630" s="88"/>
      <c r="L630" s="88" t="s">
        <v>460</v>
      </c>
    </row>
    <row r="631">
      <c r="J631" s="88"/>
      <c r="K631" s="88"/>
      <c r="L631" s="88" t="s">
        <v>460</v>
      </c>
    </row>
    <row r="632">
      <c r="J632" s="88"/>
      <c r="K632" s="88"/>
      <c r="L632" s="88" t="s">
        <v>460</v>
      </c>
    </row>
    <row r="633">
      <c r="J633" s="88"/>
      <c r="K633" s="88"/>
      <c r="L633" s="88" t="s">
        <v>460</v>
      </c>
    </row>
    <row r="634">
      <c r="J634" s="88"/>
      <c r="K634" s="88"/>
      <c r="L634" s="88" t="s">
        <v>460</v>
      </c>
    </row>
    <row r="635">
      <c r="J635" s="88"/>
      <c r="K635" s="88"/>
      <c r="L635" s="88" t="s">
        <v>460</v>
      </c>
    </row>
    <row r="636">
      <c r="J636" s="88"/>
      <c r="K636" s="88"/>
      <c r="L636" s="88" t="s">
        <v>460</v>
      </c>
    </row>
    <row r="637">
      <c r="J637" s="88"/>
      <c r="K637" s="88"/>
      <c r="L637" s="88" t="s">
        <v>460</v>
      </c>
    </row>
    <row r="638">
      <c r="J638" s="88"/>
      <c r="K638" s="88"/>
      <c r="L638" s="88" t="s">
        <v>460</v>
      </c>
    </row>
    <row r="639">
      <c r="J639" s="88"/>
      <c r="K639" s="88"/>
      <c r="L639" s="88" t="s">
        <v>460</v>
      </c>
    </row>
    <row r="640">
      <c r="J640" s="88"/>
      <c r="K640" s="88"/>
      <c r="L640" s="88" t="s">
        <v>460</v>
      </c>
    </row>
    <row r="641">
      <c r="J641" s="88"/>
      <c r="K641" s="88"/>
      <c r="L641" s="88" t="s">
        <v>460</v>
      </c>
    </row>
    <row r="642">
      <c r="J642" s="88"/>
      <c r="K642" s="88"/>
      <c r="L642" s="88" t="s">
        <v>460</v>
      </c>
    </row>
    <row r="643">
      <c r="J643" s="88"/>
      <c r="K643" s="88"/>
      <c r="L643" s="88" t="s">
        <v>460</v>
      </c>
    </row>
    <row r="644">
      <c r="J644" s="88"/>
      <c r="K644" s="88"/>
      <c r="L644" s="88" t="s">
        <v>460</v>
      </c>
    </row>
    <row r="645">
      <c r="J645" s="88"/>
      <c r="K645" s="88"/>
      <c r="L645" s="88" t="s">
        <v>460</v>
      </c>
    </row>
    <row r="646">
      <c r="J646" s="88"/>
      <c r="K646" s="88"/>
      <c r="L646" s="88" t="s">
        <v>460</v>
      </c>
    </row>
    <row r="647">
      <c r="J647" s="88"/>
      <c r="K647" s="88"/>
      <c r="L647" s="88" t="s">
        <v>460</v>
      </c>
    </row>
    <row r="648">
      <c r="J648" s="88"/>
      <c r="K648" s="88"/>
      <c r="L648" s="88" t="s">
        <v>460</v>
      </c>
    </row>
    <row r="649">
      <c r="J649" s="88"/>
      <c r="K649" s="88"/>
      <c r="L649" s="88" t="s">
        <v>460</v>
      </c>
    </row>
    <row r="650">
      <c r="J650" s="88"/>
      <c r="K650" s="88"/>
      <c r="L650" s="88" t="s">
        <v>460</v>
      </c>
    </row>
    <row r="651">
      <c r="J651" s="88"/>
      <c r="K651" s="88"/>
      <c r="L651" s="88" t="s">
        <v>460</v>
      </c>
    </row>
    <row r="652">
      <c r="J652" s="88"/>
      <c r="K652" s="88"/>
      <c r="L652" s="88" t="s">
        <v>460</v>
      </c>
    </row>
    <row r="653">
      <c r="J653" s="88"/>
      <c r="K653" s="88"/>
      <c r="L653" s="88" t="s">
        <v>460</v>
      </c>
    </row>
    <row r="654">
      <c r="J654" s="88"/>
      <c r="K654" s="88"/>
      <c r="L654" s="88" t="s">
        <v>460</v>
      </c>
    </row>
    <row r="655">
      <c r="J655" s="88"/>
      <c r="K655" s="88"/>
      <c r="L655" s="88" t="s">
        <v>460</v>
      </c>
    </row>
    <row r="656">
      <c r="J656" s="88"/>
      <c r="K656" s="88"/>
      <c r="L656" s="88" t="s">
        <v>460</v>
      </c>
    </row>
    <row r="657">
      <c r="J657" s="88"/>
      <c r="K657" s="88"/>
      <c r="L657" s="88" t="s">
        <v>460</v>
      </c>
    </row>
    <row r="658">
      <c r="J658" s="88"/>
      <c r="K658" s="88"/>
      <c r="L658" s="88" t="s">
        <v>460</v>
      </c>
    </row>
    <row r="659">
      <c r="J659" s="88"/>
      <c r="K659" s="88"/>
      <c r="L659" s="88" t="s">
        <v>460</v>
      </c>
    </row>
    <row r="660">
      <c r="J660" s="88"/>
      <c r="K660" s="88"/>
      <c r="L660" s="88" t="s">
        <v>460</v>
      </c>
    </row>
    <row r="661">
      <c r="J661" s="88"/>
      <c r="K661" s="88"/>
      <c r="L661" s="88" t="s">
        <v>460</v>
      </c>
    </row>
    <row r="662">
      <c r="J662" s="88"/>
      <c r="K662" s="88"/>
      <c r="L662" s="88" t="s">
        <v>460</v>
      </c>
    </row>
    <row r="663">
      <c r="J663" s="88"/>
      <c r="K663" s="88"/>
      <c r="L663" s="88" t="s">
        <v>460</v>
      </c>
    </row>
    <row r="664">
      <c r="J664" s="88"/>
      <c r="K664" s="88"/>
      <c r="L664" s="88" t="s">
        <v>460</v>
      </c>
    </row>
    <row r="665">
      <c r="J665" s="88"/>
      <c r="K665" s="88"/>
      <c r="L665" s="88" t="s">
        <v>460</v>
      </c>
    </row>
    <row r="666">
      <c r="J666" s="88"/>
      <c r="K666" s="88"/>
      <c r="L666" s="88" t="s">
        <v>460</v>
      </c>
    </row>
    <row r="667">
      <c r="J667" s="88"/>
      <c r="K667" s="88"/>
      <c r="L667" s="88" t="s">
        <v>460</v>
      </c>
    </row>
    <row r="668">
      <c r="J668" s="88"/>
      <c r="K668" s="88"/>
      <c r="L668" s="88" t="s">
        <v>460</v>
      </c>
    </row>
    <row r="669">
      <c r="J669" s="88"/>
      <c r="K669" s="88"/>
      <c r="L669" s="88" t="s">
        <v>460</v>
      </c>
    </row>
    <row r="670">
      <c r="J670" s="88"/>
      <c r="K670" s="88"/>
      <c r="L670" s="88" t="s">
        <v>460</v>
      </c>
    </row>
    <row r="671">
      <c r="J671" s="88"/>
      <c r="K671" s="88"/>
      <c r="L671" s="88" t="s">
        <v>460</v>
      </c>
    </row>
    <row r="672">
      <c r="J672" s="88"/>
      <c r="K672" s="88"/>
      <c r="L672" s="88" t="s">
        <v>460</v>
      </c>
    </row>
    <row r="673">
      <c r="J673" s="88"/>
      <c r="K673" s="88"/>
      <c r="L673" s="88" t="s">
        <v>460</v>
      </c>
    </row>
    <row r="674">
      <c r="J674" s="88"/>
      <c r="K674" s="88"/>
      <c r="L674" s="88" t="s">
        <v>460</v>
      </c>
    </row>
    <row r="675">
      <c r="J675" s="88"/>
      <c r="K675" s="88"/>
      <c r="L675" s="88" t="s">
        <v>460</v>
      </c>
    </row>
    <row r="676">
      <c r="J676" s="88"/>
      <c r="K676" s="88"/>
      <c r="L676" s="88" t="s">
        <v>460</v>
      </c>
    </row>
    <row r="677">
      <c r="J677" s="88"/>
      <c r="K677" s="88"/>
      <c r="L677" s="88" t="s">
        <v>460</v>
      </c>
    </row>
    <row r="678">
      <c r="J678" s="88"/>
      <c r="K678" s="88"/>
      <c r="L678" s="88" t="s">
        <v>460</v>
      </c>
    </row>
    <row r="679">
      <c r="J679" s="88"/>
      <c r="K679" s="88"/>
      <c r="L679" s="88" t="s">
        <v>460</v>
      </c>
    </row>
    <row r="680">
      <c r="J680" s="88"/>
      <c r="K680" s="88"/>
      <c r="L680" s="88" t="s">
        <v>460</v>
      </c>
    </row>
    <row r="681">
      <c r="J681" s="88"/>
      <c r="K681" s="88"/>
      <c r="L681" s="88" t="s">
        <v>460</v>
      </c>
    </row>
    <row r="682">
      <c r="J682" s="88"/>
      <c r="K682" s="88"/>
      <c r="L682" s="88" t="s">
        <v>460</v>
      </c>
    </row>
    <row r="683">
      <c r="J683" s="88"/>
      <c r="K683" s="88"/>
      <c r="L683" s="88" t="s">
        <v>460</v>
      </c>
    </row>
    <row r="684">
      <c r="J684" s="88"/>
      <c r="K684" s="88"/>
      <c r="L684" s="88" t="s">
        <v>460</v>
      </c>
    </row>
    <row r="685">
      <c r="J685" s="88"/>
      <c r="K685" s="88"/>
      <c r="L685" s="88" t="s">
        <v>460</v>
      </c>
    </row>
    <row r="686">
      <c r="J686" s="88"/>
      <c r="K686" s="88"/>
      <c r="L686" s="88" t="s">
        <v>460</v>
      </c>
    </row>
    <row r="687">
      <c r="J687" s="88"/>
      <c r="K687" s="88"/>
      <c r="L687" s="88" t="s">
        <v>460</v>
      </c>
    </row>
    <row r="688">
      <c r="J688" s="88"/>
      <c r="K688" s="88"/>
      <c r="L688" s="88" t="s">
        <v>460</v>
      </c>
    </row>
    <row r="689">
      <c r="J689" s="88"/>
      <c r="K689" s="88"/>
      <c r="L689" s="88" t="s">
        <v>460</v>
      </c>
    </row>
    <row r="690">
      <c r="J690" s="88"/>
      <c r="K690" s="88"/>
      <c r="L690" s="88" t="s">
        <v>460</v>
      </c>
    </row>
    <row r="691">
      <c r="J691" s="88"/>
      <c r="K691" s="88"/>
      <c r="L691" s="88" t="s">
        <v>460</v>
      </c>
    </row>
    <row r="692">
      <c r="J692" s="88"/>
      <c r="K692" s="88"/>
      <c r="L692" s="88" t="s">
        <v>460</v>
      </c>
    </row>
    <row r="693">
      <c r="J693" s="88"/>
      <c r="K693" s="88"/>
      <c r="L693" s="88" t="s">
        <v>460</v>
      </c>
    </row>
    <row r="694">
      <c r="J694" s="88"/>
      <c r="K694" s="88"/>
      <c r="L694" s="88" t="s">
        <v>460</v>
      </c>
    </row>
    <row r="695">
      <c r="J695" s="88"/>
      <c r="K695" s="88"/>
      <c r="L695" s="88" t="s">
        <v>460</v>
      </c>
    </row>
    <row r="696">
      <c r="J696" s="88"/>
      <c r="K696" s="88"/>
      <c r="L696" s="88" t="s">
        <v>460</v>
      </c>
    </row>
    <row r="697">
      <c r="J697" s="88"/>
      <c r="K697" s="88"/>
      <c r="L697" s="88" t="s">
        <v>460</v>
      </c>
    </row>
    <row r="698">
      <c r="J698" s="88"/>
      <c r="K698" s="88"/>
      <c r="L698" s="88" t="s">
        <v>460</v>
      </c>
    </row>
    <row r="699">
      <c r="J699" s="88"/>
      <c r="K699" s="88"/>
      <c r="L699" s="88" t="s">
        <v>460</v>
      </c>
    </row>
    <row r="700">
      <c r="J700" s="88"/>
      <c r="K700" s="88"/>
      <c r="L700" s="88" t="s">
        <v>460</v>
      </c>
    </row>
    <row r="701">
      <c r="J701" s="88"/>
      <c r="K701" s="88"/>
      <c r="L701" s="88" t="s">
        <v>460</v>
      </c>
    </row>
    <row r="702">
      <c r="J702" s="88"/>
      <c r="K702" s="88"/>
      <c r="L702" s="88" t="s">
        <v>460</v>
      </c>
    </row>
    <row r="703">
      <c r="J703" s="88"/>
      <c r="K703" s="88"/>
      <c r="L703" s="88" t="s">
        <v>460</v>
      </c>
    </row>
    <row r="704">
      <c r="J704" s="88"/>
      <c r="K704" s="88"/>
      <c r="L704" s="88" t="s">
        <v>460</v>
      </c>
    </row>
    <row r="705">
      <c r="J705" s="88"/>
      <c r="K705" s="88"/>
      <c r="L705" s="88" t="s">
        <v>460</v>
      </c>
    </row>
    <row r="706">
      <c r="J706" s="88"/>
      <c r="K706" s="88"/>
      <c r="L706" s="88" t="s">
        <v>460</v>
      </c>
    </row>
    <row r="707">
      <c r="J707" s="88"/>
      <c r="K707" s="88"/>
      <c r="L707" s="88" t="s">
        <v>460</v>
      </c>
    </row>
    <row r="708">
      <c r="J708" s="88"/>
      <c r="K708" s="88"/>
      <c r="L708" s="88" t="s">
        <v>460</v>
      </c>
    </row>
    <row r="709">
      <c r="J709" s="88"/>
      <c r="K709" s="88"/>
      <c r="L709" s="88" t="s">
        <v>460</v>
      </c>
    </row>
    <row r="710">
      <c r="J710" s="88"/>
      <c r="K710" s="88"/>
      <c r="L710" s="88" t="s">
        <v>460</v>
      </c>
    </row>
    <row r="711">
      <c r="J711" s="88"/>
      <c r="K711" s="88"/>
      <c r="L711" s="88" t="s">
        <v>460</v>
      </c>
    </row>
    <row r="712">
      <c r="J712" s="88"/>
      <c r="K712" s="88"/>
      <c r="L712" s="88" t="s">
        <v>460</v>
      </c>
    </row>
    <row r="713">
      <c r="J713" s="88"/>
      <c r="K713" s="88"/>
      <c r="L713" s="88" t="s">
        <v>460</v>
      </c>
    </row>
    <row r="714">
      <c r="J714" s="88"/>
      <c r="K714" s="88"/>
      <c r="L714" s="88" t="s">
        <v>460</v>
      </c>
    </row>
    <row r="715">
      <c r="J715" s="88"/>
      <c r="K715" s="88"/>
      <c r="L715" s="88" t="s">
        <v>460</v>
      </c>
    </row>
    <row r="716">
      <c r="J716" s="88"/>
      <c r="K716" s="88"/>
      <c r="L716" s="88" t="s">
        <v>460</v>
      </c>
    </row>
    <row r="717">
      <c r="J717" s="88"/>
      <c r="K717" s="88"/>
      <c r="L717" s="88" t="s">
        <v>460</v>
      </c>
    </row>
    <row r="718">
      <c r="J718" s="88"/>
      <c r="K718" s="88"/>
      <c r="L718" s="88" t="s">
        <v>460</v>
      </c>
    </row>
    <row r="719">
      <c r="J719" s="88"/>
      <c r="K719" s="88"/>
      <c r="L719" s="88" t="s">
        <v>460</v>
      </c>
    </row>
    <row r="720">
      <c r="J720" s="88"/>
      <c r="K720" s="88"/>
      <c r="L720" s="88" t="s">
        <v>460</v>
      </c>
    </row>
    <row r="721">
      <c r="J721" s="88"/>
      <c r="K721" s="88"/>
      <c r="L721" s="88" t="s">
        <v>460</v>
      </c>
    </row>
    <row r="722">
      <c r="J722" s="88"/>
      <c r="K722" s="88"/>
      <c r="L722" s="88" t="s">
        <v>460</v>
      </c>
    </row>
    <row r="723">
      <c r="J723" s="88"/>
      <c r="K723" s="88"/>
      <c r="L723" s="88" t="s">
        <v>460</v>
      </c>
    </row>
    <row r="724">
      <c r="J724" s="88"/>
      <c r="K724" s="88"/>
      <c r="L724" s="88" t="s">
        <v>460</v>
      </c>
    </row>
    <row r="725">
      <c r="J725" s="88"/>
      <c r="K725" s="88"/>
      <c r="L725" s="88" t="s">
        <v>460</v>
      </c>
    </row>
    <row r="726">
      <c r="J726" s="88"/>
      <c r="K726" s="88"/>
      <c r="L726" s="88" t="s">
        <v>460</v>
      </c>
    </row>
    <row r="727">
      <c r="J727" s="88"/>
      <c r="K727" s="88"/>
      <c r="L727" s="88" t="s">
        <v>460</v>
      </c>
    </row>
    <row r="728">
      <c r="J728" s="88"/>
      <c r="K728" s="88"/>
      <c r="L728" s="88" t="s">
        <v>460</v>
      </c>
    </row>
    <row r="729">
      <c r="J729" s="88"/>
      <c r="K729" s="88"/>
      <c r="L729" s="88" t="s">
        <v>460</v>
      </c>
    </row>
    <row r="730">
      <c r="J730" s="88"/>
      <c r="K730" s="88"/>
      <c r="L730" s="88" t="s">
        <v>460</v>
      </c>
    </row>
    <row r="731">
      <c r="J731" s="88"/>
      <c r="K731" s="88"/>
      <c r="L731" s="88" t="s">
        <v>460</v>
      </c>
    </row>
    <row r="732">
      <c r="J732" s="88"/>
      <c r="K732" s="88"/>
      <c r="L732" s="88" t="s">
        <v>460</v>
      </c>
    </row>
    <row r="733">
      <c r="J733" s="88"/>
      <c r="K733" s="88"/>
      <c r="L733" s="88" t="s">
        <v>460</v>
      </c>
    </row>
    <row r="734">
      <c r="J734" s="88"/>
      <c r="K734" s="88"/>
      <c r="L734" s="88" t="s">
        <v>460</v>
      </c>
    </row>
    <row r="735">
      <c r="J735" s="88"/>
      <c r="K735" s="88"/>
      <c r="L735" s="88" t="s">
        <v>460</v>
      </c>
    </row>
    <row r="736">
      <c r="J736" s="88"/>
      <c r="K736" s="88"/>
      <c r="L736" s="88" t="s">
        <v>460</v>
      </c>
    </row>
    <row r="737">
      <c r="J737" s="88"/>
      <c r="K737" s="88"/>
      <c r="L737" s="88" t="s">
        <v>460</v>
      </c>
    </row>
    <row r="738">
      <c r="J738" s="88"/>
      <c r="K738" s="88"/>
      <c r="L738" s="88" t="s">
        <v>460</v>
      </c>
    </row>
    <row r="739">
      <c r="J739" s="88"/>
      <c r="K739" s="88"/>
      <c r="L739" s="88" t="s">
        <v>460</v>
      </c>
    </row>
    <row r="740">
      <c r="J740" s="88"/>
      <c r="K740" s="88"/>
      <c r="L740" s="88" t="s">
        <v>460</v>
      </c>
    </row>
    <row r="741">
      <c r="J741" s="88"/>
      <c r="K741" s="88"/>
      <c r="L741" s="88" t="s">
        <v>460</v>
      </c>
    </row>
    <row r="742">
      <c r="J742" s="88"/>
      <c r="K742" s="88"/>
      <c r="L742" s="88" t="s">
        <v>460</v>
      </c>
    </row>
    <row r="743">
      <c r="J743" s="88"/>
      <c r="K743" s="88"/>
      <c r="L743" s="88" t="s">
        <v>460</v>
      </c>
    </row>
    <row r="744">
      <c r="J744" s="88"/>
      <c r="K744" s="88"/>
      <c r="L744" s="88" t="s">
        <v>460</v>
      </c>
    </row>
    <row r="745">
      <c r="J745" s="88"/>
      <c r="K745" s="88"/>
      <c r="L745" s="88" t="s">
        <v>460</v>
      </c>
    </row>
    <row r="746">
      <c r="J746" s="88"/>
      <c r="K746" s="88"/>
      <c r="L746" s="88" t="s">
        <v>460</v>
      </c>
    </row>
    <row r="747">
      <c r="J747" s="88"/>
      <c r="K747" s="88"/>
      <c r="L747" s="88" t="s">
        <v>460</v>
      </c>
    </row>
    <row r="748">
      <c r="J748" s="88"/>
      <c r="K748" s="88"/>
      <c r="L748" s="88" t="s">
        <v>460</v>
      </c>
    </row>
    <row r="749">
      <c r="J749" s="88"/>
      <c r="K749" s="88"/>
      <c r="L749" s="88" t="s">
        <v>460</v>
      </c>
    </row>
    <row r="750">
      <c r="J750" s="88"/>
      <c r="K750" s="88"/>
      <c r="L750" s="88" t="s">
        <v>460</v>
      </c>
    </row>
    <row r="751">
      <c r="J751" s="88"/>
      <c r="K751" s="88"/>
      <c r="L751" s="88" t="s">
        <v>460</v>
      </c>
    </row>
    <row r="752">
      <c r="J752" s="88"/>
      <c r="K752" s="88"/>
      <c r="L752" s="88" t="s">
        <v>460</v>
      </c>
    </row>
    <row r="753">
      <c r="J753" s="88"/>
      <c r="K753" s="88"/>
      <c r="L753" s="88" t="s">
        <v>460</v>
      </c>
    </row>
    <row r="754">
      <c r="J754" s="88"/>
      <c r="K754" s="88"/>
      <c r="L754" s="88" t="s">
        <v>460</v>
      </c>
    </row>
    <row r="755">
      <c r="J755" s="88"/>
      <c r="K755" s="88"/>
      <c r="L755" s="88" t="s">
        <v>460</v>
      </c>
    </row>
    <row r="756">
      <c r="J756" s="88"/>
      <c r="K756" s="88"/>
      <c r="L756" s="88" t="s">
        <v>460</v>
      </c>
    </row>
    <row r="757">
      <c r="J757" s="88"/>
      <c r="K757" s="88"/>
      <c r="L757" s="88" t="s">
        <v>460</v>
      </c>
    </row>
    <row r="758">
      <c r="J758" s="88"/>
      <c r="K758" s="88"/>
      <c r="L758" s="88" t="s">
        <v>460</v>
      </c>
    </row>
    <row r="759">
      <c r="J759" s="88"/>
      <c r="K759" s="88"/>
      <c r="L759" s="88" t="s">
        <v>460</v>
      </c>
    </row>
    <row r="760">
      <c r="J760" s="88"/>
      <c r="K760" s="88"/>
      <c r="L760" s="88" t="s">
        <v>460</v>
      </c>
    </row>
    <row r="761">
      <c r="J761" s="88"/>
      <c r="K761" s="88"/>
      <c r="L761" s="88" t="s">
        <v>460</v>
      </c>
    </row>
    <row r="762">
      <c r="J762" s="88"/>
      <c r="K762" s="88"/>
      <c r="L762" s="88" t="s">
        <v>460</v>
      </c>
    </row>
    <row r="763">
      <c r="J763" s="88"/>
      <c r="K763" s="88"/>
      <c r="L763" s="88" t="s">
        <v>460</v>
      </c>
    </row>
    <row r="764">
      <c r="J764" s="88"/>
      <c r="K764" s="88"/>
      <c r="L764" s="88" t="s">
        <v>460</v>
      </c>
    </row>
    <row r="765">
      <c r="J765" s="88"/>
      <c r="K765" s="88"/>
      <c r="L765" s="88" t="s">
        <v>460</v>
      </c>
    </row>
    <row r="766">
      <c r="J766" s="88"/>
      <c r="K766" s="88"/>
      <c r="L766" s="88" t="s">
        <v>460</v>
      </c>
    </row>
    <row r="767">
      <c r="J767" s="88"/>
      <c r="K767" s="88"/>
      <c r="L767" s="88" t="s">
        <v>460</v>
      </c>
    </row>
    <row r="768">
      <c r="J768" s="88"/>
      <c r="K768" s="88"/>
      <c r="L768" s="88" t="s">
        <v>460</v>
      </c>
    </row>
    <row r="769">
      <c r="J769" s="88"/>
      <c r="K769" s="88"/>
      <c r="L769" s="88" t="s">
        <v>460</v>
      </c>
    </row>
    <row r="770">
      <c r="J770" s="88"/>
      <c r="K770" s="88"/>
      <c r="L770" s="88" t="s">
        <v>460</v>
      </c>
    </row>
    <row r="771">
      <c r="J771" s="88"/>
      <c r="K771" s="88"/>
      <c r="L771" s="88" t="s">
        <v>460</v>
      </c>
    </row>
    <row r="772">
      <c r="J772" s="88"/>
      <c r="K772" s="88"/>
      <c r="L772" s="88" t="s">
        <v>460</v>
      </c>
    </row>
    <row r="773">
      <c r="J773" s="88"/>
      <c r="K773" s="88"/>
      <c r="L773" s="88" t="s">
        <v>460</v>
      </c>
    </row>
    <row r="774">
      <c r="J774" s="88"/>
      <c r="K774" s="88"/>
      <c r="L774" s="88" t="s">
        <v>460</v>
      </c>
    </row>
    <row r="775">
      <c r="J775" s="88"/>
      <c r="K775" s="88"/>
      <c r="L775" s="88" t="s">
        <v>460</v>
      </c>
    </row>
    <row r="776">
      <c r="J776" s="88"/>
      <c r="K776" s="88"/>
      <c r="L776" s="88" t="s">
        <v>460</v>
      </c>
    </row>
    <row r="777">
      <c r="J777" s="88"/>
      <c r="K777" s="88"/>
      <c r="L777" s="88" t="s">
        <v>460</v>
      </c>
    </row>
    <row r="778">
      <c r="J778" s="88"/>
      <c r="K778" s="88"/>
      <c r="L778" s="88" t="s">
        <v>460</v>
      </c>
    </row>
    <row r="779">
      <c r="J779" s="88"/>
      <c r="K779" s="88"/>
      <c r="L779" s="88" t="s">
        <v>460</v>
      </c>
    </row>
    <row r="780">
      <c r="J780" s="88"/>
      <c r="K780" s="88"/>
      <c r="L780" s="88" t="s">
        <v>460</v>
      </c>
    </row>
    <row r="781">
      <c r="J781" s="88"/>
      <c r="K781" s="88"/>
      <c r="L781" s="88" t="s">
        <v>460</v>
      </c>
    </row>
    <row r="782">
      <c r="J782" s="88"/>
      <c r="K782" s="88"/>
      <c r="L782" s="88" t="s">
        <v>460</v>
      </c>
    </row>
    <row r="783">
      <c r="J783" s="88"/>
      <c r="K783" s="88"/>
      <c r="L783" s="88" t="s">
        <v>460</v>
      </c>
    </row>
    <row r="784">
      <c r="J784" s="88"/>
      <c r="K784" s="88"/>
      <c r="L784" s="88" t="s">
        <v>460</v>
      </c>
    </row>
    <row r="785">
      <c r="J785" s="88"/>
      <c r="K785" s="88"/>
      <c r="L785" s="88" t="s">
        <v>460</v>
      </c>
    </row>
    <row r="786">
      <c r="J786" s="88"/>
      <c r="K786" s="88"/>
      <c r="L786" s="88" t="s">
        <v>460</v>
      </c>
    </row>
    <row r="787">
      <c r="J787" s="88"/>
      <c r="K787" s="88"/>
      <c r="L787" s="88" t="s">
        <v>460</v>
      </c>
    </row>
    <row r="788">
      <c r="J788" s="88"/>
      <c r="K788" s="88"/>
      <c r="L788" s="88" t="s">
        <v>460</v>
      </c>
    </row>
    <row r="789">
      <c r="J789" s="88"/>
      <c r="K789" s="88"/>
      <c r="L789" s="88" t="s">
        <v>460</v>
      </c>
    </row>
    <row r="790">
      <c r="J790" s="88"/>
      <c r="K790" s="88"/>
      <c r="L790" s="88" t="s">
        <v>460</v>
      </c>
    </row>
    <row r="791">
      <c r="J791" s="88"/>
      <c r="K791" s="88"/>
      <c r="L791" s="88" t="s">
        <v>460</v>
      </c>
    </row>
    <row r="792">
      <c r="J792" s="88"/>
      <c r="K792" s="88"/>
      <c r="L792" s="88" t="s">
        <v>460</v>
      </c>
    </row>
    <row r="793">
      <c r="J793" s="88"/>
      <c r="K793" s="88"/>
      <c r="L793" s="88" t="s">
        <v>460</v>
      </c>
    </row>
    <row r="794">
      <c r="J794" s="88"/>
      <c r="K794" s="88"/>
      <c r="L794" s="88" t="s">
        <v>460</v>
      </c>
    </row>
    <row r="795">
      <c r="J795" s="88"/>
      <c r="K795" s="88"/>
      <c r="L795" s="88" t="s">
        <v>460</v>
      </c>
    </row>
    <row r="796">
      <c r="J796" s="88"/>
      <c r="K796" s="88"/>
      <c r="L796" s="88" t="s">
        <v>460</v>
      </c>
    </row>
    <row r="797">
      <c r="J797" s="88"/>
      <c r="K797" s="88"/>
      <c r="L797" s="88" t="s">
        <v>460</v>
      </c>
    </row>
    <row r="798">
      <c r="J798" s="88"/>
      <c r="K798" s="88"/>
      <c r="L798" s="88" t="s">
        <v>460</v>
      </c>
    </row>
    <row r="799">
      <c r="J799" s="88"/>
      <c r="K799" s="88"/>
      <c r="L799" s="88" t="s">
        <v>460</v>
      </c>
    </row>
    <row r="800">
      <c r="J800" s="88"/>
      <c r="K800" s="88"/>
      <c r="L800" s="88" t="s">
        <v>460</v>
      </c>
    </row>
    <row r="801">
      <c r="J801" s="88"/>
      <c r="K801" s="88"/>
      <c r="L801" s="88" t="s">
        <v>460</v>
      </c>
    </row>
    <row r="802">
      <c r="J802" s="88"/>
      <c r="K802" s="88"/>
      <c r="L802" s="88" t="s">
        <v>460</v>
      </c>
    </row>
    <row r="803">
      <c r="J803" s="88"/>
      <c r="K803" s="88"/>
      <c r="L803" s="88" t="s">
        <v>460</v>
      </c>
    </row>
    <row r="804">
      <c r="J804" s="88"/>
      <c r="K804" s="88"/>
      <c r="L804" s="88" t="s">
        <v>460</v>
      </c>
    </row>
    <row r="805">
      <c r="J805" s="88"/>
      <c r="K805" s="88"/>
      <c r="L805" s="88" t="s">
        <v>460</v>
      </c>
    </row>
    <row r="806">
      <c r="J806" s="88"/>
      <c r="K806" s="88"/>
      <c r="L806" s="88" t="s">
        <v>460</v>
      </c>
    </row>
    <row r="807">
      <c r="J807" s="88"/>
      <c r="K807" s="88"/>
      <c r="L807" s="88" t="s">
        <v>460</v>
      </c>
    </row>
    <row r="808">
      <c r="J808" s="88"/>
      <c r="K808" s="88"/>
      <c r="L808" s="88" t="s">
        <v>460</v>
      </c>
    </row>
    <row r="809">
      <c r="J809" s="88"/>
      <c r="K809" s="88"/>
      <c r="L809" s="88" t="s">
        <v>460</v>
      </c>
    </row>
    <row r="810">
      <c r="J810" s="88"/>
      <c r="K810" s="88"/>
      <c r="L810" s="88" t="s">
        <v>460</v>
      </c>
    </row>
    <row r="811">
      <c r="J811" s="88"/>
      <c r="K811" s="88"/>
      <c r="L811" s="88" t="s">
        <v>460</v>
      </c>
    </row>
    <row r="812">
      <c r="J812" s="88"/>
      <c r="K812" s="88"/>
      <c r="L812" s="88" t="s">
        <v>460</v>
      </c>
    </row>
    <row r="813">
      <c r="J813" s="88"/>
      <c r="K813" s="88"/>
      <c r="L813" s="88" t="s">
        <v>460</v>
      </c>
    </row>
    <row r="814">
      <c r="J814" s="88"/>
      <c r="K814" s="88"/>
      <c r="L814" s="88" t="s">
        <v>460</v>
      </c>
    </row>
    <row r="815">
      <c r="J815" s="88"/>
      <c r="K815" s="88"/>
      <c r="L815" s="88" t="s">
        <v>460</v>
      </c>
    </row>
    <row r="816">
      <c r="J816" s="88"/>
      <c r="K816" s="88"/>
      <c r="L816" s="88" t="s">
        <v>460</v>
      </c>
    </row>
    <row r="817">
      <c r="J817" s="88"/>
      <c r="K817" s="88"/>
      <c r="L817" s="88" t="s">
        <v>460</v>
      </c>
    </row>
    <row r="818">
      <c r="J818" s="88"/>
      <c r="K818" s="88"/>
      <c r="L818" s="88" t="s">
        <v>460</v>
      </c>
    </row>
    <row r="819">
      <c r="J819" s="88"/>
      <c r="K819" s="88"/>
      <c r="L819" s="88" t="s">
        <v>460</v>
      </c>
    </row>
    <row r="820">
      <c r="J820" s="88"/>
      <c r="K820" s="88"/>
      <c r="L820" s="88" t="s">
        <v>460</v>
      </c>
    </row>
    <row r="821">
      <c r="J821" s="88"/>
      <c r="K821" s="88"/>
      <c r="L821" s="88" t="s">
        <v>460</v>
      </c>
    </row>
    <row r="822">
      <c r="J822" s="88"/>
      <c r="K822" s="88"/>
      <c r="L822" s="88" t="s">
        <v>460</v>
      </c>
    </row>
    <row r="823">
      <c r="J823" s="88"/>
      <c r="K823" s="88"/>
      <c r="L823" s="88" t="s">
        <v>460</v>
      </c>
    </row>
    <row r="824">
      <c r="J824" s="88"/>
      <c r="K824" s="88"/>
      <c r="L824" s="88" t="s">
        <v>460</v>
      </c>
    </row>
    <row r="825">
      <c r="J825" s="88"/>
      <c r="K825" s="88"/>
      <c r="L825" s="88" t="s">
        <v>460</v>
      </c>
    </row>
    <row r="826">
      <c r="J826" s="88"/>
      <c r="K826" s="88"/>
      <c r="L826" s="88" t="s">
        <v>460</v>
      </c>
    </row>
    <row r="827">
      <c r="J827" s="88"/>
      <c r="K827" s="88"/>
      <c r="L827" s="88" t="s">
        <v>460</v>
      </c>
    </row>
    <row r="828">
      <c r="J828" s="88"/>
      <c r="K828" s="88"/>
      <c r="L828" s="88" t="s">
        <v>460</v>
      </c>
    </row>
    <row r="829">
      <c r="J829" s="88"/>
      <c r="K829" s="88"/>
      <c r="L829" s="88" t="s">
        <v>460</v>
      </c>
    </row>
    <row r="830">
      <c r="J830" s="88"/>
      <c r="K830" s="88"/>
      <c r="L830" s="88" t="s">
        <v>460</v>
      </c>
    </row>
    <row r="831">
      <c r="J831" s="88"/>
      <c r="K831" s="88"/>
      <c r="L831" s="88" t="s">
        <v>460</v>
      </c>
    </row>
    <row r="832">
      <c r="J832" s="88"/>
      <c r="K832" s="88"/>
      <c r="L832" s="88" t="s">
        <v>460</v>
      </c>
    </row>
    <row r="833">
      <c r="J833" s="88"/>
      <c r="K833" s="88"/>
      <c r="L833" s="88" t="s">
        <v>460</v>
      </c>
    </row>
    <row r="834">
      <c r="J834" s="88"/>
      <c r="K834" s="88"/>
      <c r="L834" s="88" t="s">
        <v>460</v>
      </c>
    </row>
    <row r="835">
      <c r="J835" s="88"/>
      <c r="K835" s="88"/>
      <c r="L835" s="88" t="s">
        <v>460</v>
      </c>
    </row>
    <row r="836">
      <c r="J836" s="88"/>
      <c r="K836" s="88"/>
      <c r="L836" s="88" t="s">
        <v>460</v>
      </c>
    </row>
    <row r="837">
      <c r="J837" s="88"/>
      <c r="K837" s="88"/>
      <c r="L837" s="88" t="s">
        <v>460</v>
      </c>
    </row>
    <row r="838">
      <c r="J838" s="88"/>
      <c r="K838" s="88"/>
      <c r="L838" s="88" t="s">
        <v>460</v>
      </c>
    </row>
    <row r="839">
      <c r="J839" s="88"/>
      <c r="K839" s="88"/>
      <c r="L839" s="88" t="s">
        <v>460</v>
      </c>
    </row>
    <row r="840">
      <c r="J840" s="88"/>
      <c r="K840" s="88"/>
      <c r="L840" s="88" t="s">
        <v>460</v>
      </c>
    </row>
    <row r="841">
      <c r="J841" s="88"/>
      <c r="K841" s="88"/>
      <c r="L841" s="88" t="s">
        <v>460</v>
      </c>
    </row>
    <row r="842">
      <c r="J842" s="88"/>
      <c r="K842" s="88"/>
      <c r="L842" s="88" t="s">
        <v>460</v>
      </c>
    </row>
    <row r="843">
      <c r="J843" s="88"/>
      <c r="K843" s="88"/>
      <c r="L843" s="88" t="s">
        <v>460</v>
      </c>
    </row>
    <row r="844">
      <c r="J844" s="88"/>
      <c r="K844" s="88"/>
      <c r="L844" s="88" t="s">
        <v>460</v>
      </c>
    </row>
    <row r="845">
      <c r="J845" s="88"/>
      <c r="K845" s="88"/>
      <c r="L845" s="88" t="s">
        <v>460</v>
      </c>
    </row>
    <row r="846">
      <c r="J846" s="88"/>
      <c r="K846" s="88"/>
      <c r="L846" s="88" t="s">
        <v>460</v>
      </c>
    </row>
    <row r="847">
      <c r="J847" s="88"/>
      <c r="K847" s="88"/>
      <c r="L847" s="88" t="s">
        <v>460</v>
      </c>
    </row>
    <row r="848">
      <c r="J848" s="88"/>
      <c r="K848" s="88"/>
      <c r="L848" s="88" t="s">
        <v>460</v>
      </c>
    </row>
    <row r="849">
      <c r="J849" s="88"/>
      <c r="K849" s="88"/>
      <c r="L849" s="88" t="s">
        <v>460</v>
      </c>
    </row>
    <row r="850">
      <c r="J850" s="88"/>
      <c r="K850" s="88"/>
      <c r="L850" s="88" t="s">
        <v>460</v>
      </c>
    </row>
    <row r="851">
      <c r="J851" s="88"/>
      <c r="K851" s="88"/>
      <c r="L851" s="88" t="s">
        <v>460</v>
      </c>
    </row>
    <row r="852">
      <c r="J852" s="88"/>
      <c r="K852" s="88"/>
      <c r="L852" s="88" t="s">
        <v>460</v>
      </c>
    </row>
    <row r="853">
      <c r="J853" s="88"/>
      <c r="K853" s="88"/>
      <c r="L853" s="88" t="s">
        <v>460</v>
      </c>
    </row>
    <row r="854">
      <c r="J854" s="88"/>
      <c r="K854" s="88"/>
      <c r="L854" s="88" t="s">
        <v>460</v>
      </c>
    </row>
    <row r="855">
      <c r="J855" s="88"/>
      <c r="K855" s="88"/>
      <c r="L855" s="88" t="s">
        <v>460</v>
      </c>
    </row>
    <row r="856">
      <c r="J856" s="88"/>
      <c r="K856" s="88"/>
      <c r="L856" s="88" t="s">
        <v>460</v>
      </c>
    </row>
    <row r="857">
      <c r="J857" s="88"/>
      <c r="K857" s="88"/>
      <c r="L857" s="88" t="s">
        <v>460</v>
      </c>
    </row>
    <row r="858">
      <c r="J858" s="88"/>
      <c r="K858" s="88"/>
      <c r="L858" s="88" t="s">
        <v>460</v>
      </c>
    </row>
    <row r="859">
      <c r="J859" s="88"/>
      <c r="K859" s="88"/>
      <c r="L859" s="88" t="s">
        <v>460</v>
      </c>
    </row>
    <row r="860">
      <c r="J860" s="88"/>
      <c r="K860" s="88"/>
      <c r="L860" s="88" t="s">
        <v>460</v>
      </c>
    </row>
    <row r="861">
      <c r="J861" s="88"/>
      <c r="K861" s="88"/>
      <c r="L861" s="88" t="s">
        <v>460</v>
      </c>
    </row>
    <row r="862">
      <c r="J862" s="88"/>
      <c r="K862" s="88"/>
      <c r="L862" s="88" t="s">
        <v>460</v>
      </c>
    </row>
    <row r="863">
      <c r="J863" s="88"/>
      <c r="K863" s="88"/>
      <c r="L863" s="88" t="s">
        <v>460</v>
      </c>
    </row>
    <row r="864">
      <c r="J864" s="88"/>
      <c r="K864" s="88"/>
      <c r="L864" s="88" t="s">
        <v>460</v>
      </c>
    </row>
    <row r="865">
      <c r="J865" s="88"/>
      <c r="K865" s="88"/>
      <c r="L865" s="88" t="s">
        <v>460</v>
      </c>
    </row>
    <row r="866">
      <c r="J866" s="88"/>
      <c r="K866" s="88"/>
      <c r="L866" s="88" t="s">
        <v>460</v>
      </c>
    </row>
    <row r="867">
      <c r="J867" s="88"/>
      <c r="K867" s="88"/>
      <c r="L867" s="88" t="s">
        <v>460</v>
      </c>
    </row>
    <row r="868">
      <c r="J868" s="88"/>
      <c r="K868" s="88"/>
      <c r="L868" s="88" t="s">
        <v>460</v>
      </c>
    </row>
    <row r="869">
      <c r="J869" s="88"/>
      <c r="K869" s="88"/>
      <c r="L869" s="88" t="s">
        <v>460</v>
      </c>
    </row>
    <row r="870">
      <c r="J870" s="88"/>
      <c r="K870" s="88"/>
      <c r="L870" s="88" t="s">
        <v>460</v>
      </c>
    </row>
    <row r="871">
      <c r="J871" s="88"/>
      <c r="K871" s="88"/>
      <c r="L871" s="88" t="s">
        <v>460</v>
      </c>
    </row>
    <row r="872">
      <c r="J872" s="88"/>
      <c r="K872" s="88"/>
      <c r="L872" s="88" t="s">
        <v>460</v>
      </c>
    </row>
    <row r="873">
      <c r="J873" s="88"/>
      <c r="K873" s="88"/>
      <c r="L873" s="88" t="s">
        <v>460</v>
      </c>
    </row>
    <row r="874">
      <c r="J874" s="88"/>
      <c r="K874" s="88"/>
      <c r="L874" s="88" t="s">
        <v>460</v>
      </c>
    </row>
    <row r="875">
      <c r="J875" s="88"/>
      <c r="K875" s="88"/>
      <c r="L875" s="88" t="s">
        <v>460</v>
      </c>
    </row>
    <row r="876">
      <c r="J876" s="88"/>
      <c r="K876" s="88"/>
      <c r="L876" s="88" t="s">
        <v>460</v>
      </c>
    </row>
    <row r="877">
      <c r="J877" s="88"/>
      <c r="K877" s="88"/>
      <c r="L877" s="88" t="s">
        <v>460</v>
      </c>
    </row>
    <row r="878">
      <c r="J878" s="88"/>
      <c r="K878" s="88"/>
      <c r="L878" s="88" t="s">
        <v>460</v>
      </c>
    </row>
    <row r="879">
      <c r="J879" s="88"/>
      <c r="K879" s="88"/>
      <c r="L879" s="88" t="s">
        <v>460</v>
      </c>
    </row>
    <row r="880">
      <c r="J880" s="88"/>
      <c r="K880" s="88"/>
      <c r="L880" s="88" t="s">
        <v>460</v>
      </c>
    </row>
    <row r="881">
      <c r="J881" s="88"/>
      <c r="K881" s="88"/>
      <c r="L881" s="88" t="s">
        <v>460</v>
      </c>
    </row>
    <row r="882">
      <c r="J882" s="88"/>
      <c r="K882" s="88"/>
      <c r="L882" s="88" t="s">
        <v>460</v>
      </c>
    </row>
    <row r="883">
      <c r="J883" s="88"/>
      <c r="K883" s="88"/>
      <c r="L883" s="88" t="s">
        <v>460</v>
      </c>
    </row>
    <row r="884">
      <c r="J884" s="88"/>
      <c r="K884" s="88"/>
      <c r="L884" s="88" t="s">
        <v>460</v>
      </c>
    </row>
    <row r="885">
      <c r="J885" s="88"/>
      <c r="K885" s="88"/>
      <c r="L885" s="88" t="s">
        <v>460</v>
      </c>
    </row>
    <row r="886">
      <c r="J886" s="88"/>
      <c r="K886" s="88"/>
      <c r="L886" s="88" t="s">
        <v>460</v>
      </c>
    </row>
    <row r="887">
      <c r="J887" s="88"/>
      <c r="K887" s="88"/>
      <c r="L887" s="88" t="s">
        <v>460</v>
      </c>
    </row>
    <row r="888">
      <c r="J888" s="88"/>
      <c r="K888" s="88"/>
      <c r="L888" s="88" t="s">
        <v>460</v>
      </c>
    </row>
    <row r="889">
      <c r="J889" s="88"/>
      <c r="K889" s="88"/>
      <c r="L889" s="88" t="s">
        <v>460</v>
      </c>
    </row>
    <row r="890">
      <c r="J890" s="88"/>
      <c r="K890" s="88"/>
      <c r="L890" s="88" t="s">
        <v>460</v>
      </c>
    </row>
    <row r="891">
      <c r="J891" s="88"/>
      <c r="K891" s="88"/>
      <c r="L891" s="88" t="s">
        <v>460</v>
      </c>
    </row>
    <row r="892">
      <c r="J892" s="88"/>
      <c r="K892" s="88"/>
      <c r="L892" s="88" t="s">
        <v>460</v>
      </c>
    </row>
    <row r="893">
      <c r="J893" s="88"/>
      <c r="K893" s="88"/>
      <c r="L893" s="88" t="s">
        <v>460</v>
      </c>
    </row>
    <row r="894">
      <c r="J894" s="88"/>
      <c r="K894" s="88"/>
      <c r="L894" s="88" t="s">
        <v>460</v>
      </c>
    </row>
    <row r="895">
      <c r="J895" s="88"/>
      <c r="K895" s="88"/>
      <c r="L895" s="88" t="s">
        <v>460</v>
      </c>
    </row>
    <row r="896">
      <c r="J896" s="88"/>
      <c r="K896" s="88"/>
      <c r="L896" s="88" t="s">
        <v>460</v>
      </c>
    </row>
    <row r="897">
      <c r="J897" s="88"/>
      <c r="K897" s="88"/>
      <c r="L897" s="88" t="s">
        <v>460</v>
      </c>
    </row>
    <row r="898">
      <c r="J898" s="88"/>
      <c r="K898" s="88"/>
      <c r="L898" s="88" t="s">
        <v>460</v>
      </c>
    </row>
    <row r="899">
      <c r="J899" s="88"/>
      <c r="K899" s="88"/>
      <c r="L899" s="88" t="s">
        <v>460</v>
      </c>
    </row>
    <row r="900">
      <c r="J900" s="88"/>
      <c r="K900" s="88"/>
      <c r="L900" s="88" t="s">
        <v>460</v>
      </c>
    </row>
    <row r="901">
      <c r="J901" s="88"/>
      <c r="K901" s="88"/>
      <c r="L901" s="88" t="s">
        <v>460</v>
      </c>
    </row>
    <row r="902">
      <c r="J902" s="88"/>
      <c r="K902" s="88"/>
      <c r="L902" s="88" t="s">
        <v>460</v>
      </c>
    </row>
    <row r="903">
      <c r="J903" s="88"/>
      <c r="K903" s="88"/>
      <c r="L903" s="88" t="s">
        <v>460</v>
      </c>
    </row>
    <row r="904">
      <c r="J904" s="88"/>
      <c r="K904" s="88"/>
      <c r="L904" s="88" t="s">
        <v>460</v>
      </c>
    </row>
    <row r="905">
      <c r="J905" s="88"/>
      <c r="K905" s="88"/>
      <c r="L905" s="88" t="s">
        <v>460</v>
      </c>
    </row>
    <row r="906">
      <c r="J906" s="88"/>
      <c r="K906" s="88"/>
      <c r="L906" s="88" t="s">
        <v>460</v>
      </c>
    </row>
    <row r="907">
      <c r="J907" s="88"/>
      <c r="K907" s="88"/>
      <c r="L907" s="88" t="s">
        <v>460</v>
      </c>
    </row>
    <row r="908">
      <c r="J908" s="88"/>
      <c r="K908" s="88"/>
      <c r="L908" s="88" t="s">
        <v>460</v>
      </c>
    </row>
    <row r="909">
      <c r="J909" s="88"/>
      <c r="K909" s="88"/>
      <c r="L909" s="88" t="s">
        <v>460</v>
      </c>
    </row>
    <row r="910">
      <c r="J910" s="88"/>
      <c r="K910" s="88"/>
      <c r="L910" s="88" t="s">
        <v>460</v>
      </c>
    </row>
    <row r="911">
      <c r="J911" s="88"/>
      <c r="K911" s="88"/>
      <c r="L911" s="88" t="s">
        <v>460</v>
      </c>
    </row>
    <row r="912">
      <c r="J912" s="88"/>
      <c r="K912" s="88"/>
      <c r="L912" s="88" t="s">
        <v>460</v>
      </c>
    </row>
    <row r="913">
      <c r="J913" s="88"/>
      <c r="K913" s="88"/>
      <c r="L913" s="88" t="s">
        <v>460</v>
      </c>
    </row>
    <row r="914">
      <c r="J914" s="88"/>
      <c r="K914" s="88"/>
      <c r="L914" s="88" t="s">
        <v>460</v>
      </c>
    </row>
    <row r="915">
      <c r="J915" s="88"/>
      <c r="K915" s="88"/>
      <c r="L915" s="88" t="s">
        <v>460</v>
      </c>
    </row>
    <row r="916">
      <c r="J916" s="88"/>
      <c r="K916" s="88"/>
      <c r="L916" s="88" t="s">
        <v>460</v>
      </c>
    </row>
    <row r="917">
      <c r="J917" s="88"/>
      <c r="K917" s="88"/>
      <c r="L917" s="88" t="s">
        <v>460</v>
      </c>
    </row>
    <row r="918">
      <c r="J918" s="88"/>
      <c r="K918" s="88"/>
      <c r="L918" s="88" t="s">
        <v>460</v>
      </c>
    </row>
    <row r="919">
      <c r="J919" s="88"/>
      <c r="K919" s="88"/>
      <c r="L919" s="88" t="s">
        <v>460</v>
      </c>
    </row>
    <row r="920">
      <c r="J920" s="88"/>
      <c r="K920" s="88"/>
      <c r="L920" s="88" t="s">
        <v>460</v>
      </c>
    </row>
    <row r="921">
      <c r="J921" s="88"/>
      <c r="K921" s="88"/>
      <c r="L921" s="88" t="s">
        <v>460</v>
      </c>
    </row>
    <row r="922">
      <c r="J922" s="88"/>
      <c r="K922" s="88"/>
      <c r="L922" s="88" t="s">
        <v>460</v>
      </c>
    </row>
    <row r="923">
      <c r="J923" s="88"/>
      <c r="K923" s="88"/>
      <c r="L923" s="88" t="s">
        <v>460</v>
      </c>
    </row>
    <row r="924">
      <c r="J924" s="88"/>
      <c r="K924" s="88"/>
      <c r="L924" s="88" t="s">
        <v>460</v>
      </c>
    </row>
    <row r="925">
      <c r="J925" s="88"/>
      <c r="K925" s="88"/>
      <c r="L925" s="88" t="s">
        <v>460</v>
      </c>
    </row>
    <row r="926">
      <c r="J926" s="88"/>
      <c r="K926" s="88"/>
      <c r="L926" s="88" t="s">
        <v>460</v>
      </c>
    </row>
    <row r="927">
      <c r="J927" s="88"/>
      <c r="K927" s="88"/>
      <c r="L927" s="88" t="s">
        <v>460</v>
      </c>
    </row>
    <row r="928">
      <c r="J928" s="88"/>
      <c r="K928" s="88"/>
      <c r="L928" s="88" t="s">
        <v>460</v>
      </c>
    </row>
    <row r="929">
      <c r="J929" s="88"/>
      <c r="K929" s="88"/>
      <c r="L929" s="88" t="s">
        <v>460</v>
      </c>
    </row>
    <row r="930">
      <c r="J930" s="88"/>
      <c r="K930" s="88"/>
      <c r="L930" s="88" t="s">
        <v>460</v>
      </c>
    </row>
    <row r="931">
      <c r="J931" s="88"/>
      <c r="K931" s="88"/>
      <c r="L931" s="88" t="s">
        <v>460</v>
      </c>
    </row>
    <row r="932">
      <c r="J932" s="88"/>
      <c r="K932" s="88"/>
      <c r="L932" s="88" t="s">
        <v>460</v>
      </c>
    </row>
    <row r="933">
      <c r="J933" s="88"/>
      <c r="K933" s="88"/>
      <c r="L933" s="88" t="s">
        <v>460</v>
      </c>
    </row>
    <row r="934">
      <c r="J934" s="88"/>
      <c r="K934" s="88"/>
      <c r="L934" s="88" t="s">
        <v>460</v>
      </c>
    </row>
    <row r="935">
      <c r="J935" s="88"/>
      <c r="K935" s="88"/>
      <c r="L935" s="88" t="s">
        <v>460</v>
      </c>
    </row>
    <row r="936">
      <c r="J936" s="88"/>
      <c r="K936" s="88"/>
      <c r="L936" s="88" t="s">
        <v>460</v>
      </c>
    </row>
    <row r="937">
      <c r="J937" s="88"/>
      <c r="K937" s="88"/>
      <c r="L937" s="88" t="s">
        <v>460</v>
      </c>
    </row>
    <row r="938">
      <c r="J938" s="88"/>
      <c r="K938" s="88"/>
      <c r="L938" s="88" t="s">
        <v>460</v>
      </c>
    </row>
    <row r="939">
      <c r="J939" s="88"/>
      <c r="K939" s="88"/>
      <c r="L939" s="88" t="s">
        <v>460</v>
      </c>
    </row>
    <row r="940">
      <c r="J940" s="88"/>
      <c r="K940" s="88"/>
      <c r="L940" s="88" t="s">
        <v>460</v>
      </c>
    </row>
    <row r="941">
      <c r="J941" s="88"/>
      <c r="K941" s="88"/>
      <c r="L941" s="88" t="s">
        <v>460</v>
      </c>
    </row>
    <row r="942">
      <c r="J942" s="88"/>
      <c r="K942" s="88"/>
      <c r="L942" s="88" t="s">
        <v>460</v>
      </c>
    </row>
    <row r="943">
      <c r="J943" s="88"/>
      <c r="K943" s="88"/>
      <c r="L943" s="88" t="s">
        <v>460</v>
      </c>
    </row>
    <row r="944">
      <c r="J944" s="88"/>
      <c r="K944" s="88"/>
      <c r="L944" s="88" t="s">
        <v>460</v>
      </c>
    </row>
    <row r="945">
      <c r="J945" s="88"/>
      <c r="K945" s="88"/>
      <c r="L945" s="88" t="s">
        <v>460</v>
      </c>
    </row>
    <row r="946">
      <c r="J946" s="88"/>
      <c r="K946" s="88"/>
      <c r="L946" s="88" t="s">
        <v>460</v>
      </c>
    </row>
    <row r="947">
      <c r="J947" s="88"/>
      <c r="K947" s="88"/>
      <c r="L947" s="88" t="s">
        <v>460</v>
      </c>
    </row>
    <row r="948">
      <c r="J948" s="88"/>
      <c r="K948" s="88"/>
      <c r="L948" s="88" t="s">
        <v>460</v>
      </c>
    </row>
    <row r="949">
      <c r="J949" s="88"/>
      <c r="K949" s="88"/>
      <c r="L949" s="88" t="s">
        <v>460</v>
      </c>
    </row>
    <row r="950">
      <c r="J950" s="88"/>
      <c r="K950" s="88"/>
      <c r="L950" s="88" t="s">
        <v>460</v>
      </c>
    </row>
    <row r="951">
      <c r="J951" s="88"/>
      <c r="K951" s="88"/>
      <c r="L951" s="88" t="s">
        <v>460</v>
      </c>
    </row>
    <row r="952">
      <c r="J952" s="88"/>
      <c r="K952" s="88"/>
      <c r="L952" s="88" t="s">
        <v>460</v>
      </c>
    </row>
    <row r="953">
      <c r="J953" s="88"/>
      <c r="K953" s="88"/>
      <c r="L953" s="88" t="s">
        <v>460</v>
      </c>
    </row>
    <row r="954">
      <c r="J954" s="88"/>
      <c r="K954" s="88"/>
      <c r="L954" s="88" t="s">
        <v>460</v>
      </c>
    </row>
    <row r="955">
      <c r="J955" s="88"/>
      <c r="K955" s="88"/>
      <c r="L955" s="88" t="s">
        <v>460</v>
      </c>
    </row>
    <row r="956">
      <c r="J956" s="88"/>
      <c r="K956" s="88"/>
      <c r="L956" s="88" t="s">
        <v>460</v>
      </c>
    </row>
    <row r="957">
      <c r="J957" s="88"/>
      <c r="K957" s="88"/>
      <c r="L957" s="88" t="s">
        <v>460</v>
      </c>
    </row>
    <row r="958">
      <c r="J958" s="88"/>
      <c r="K958" s="88"/>
      <c r="L958" s="88" t="s">
        <v>460</v>
      </c>
    </row>
    <row r="959">
      <c r="J959" s="88"/>
      <c r="K959" s="88"/>
      <c r="L959" s="88" t="s">
        <v>460</v>
      </c>
    </row>
    <row r="960">
      <c r="J960" s="88"/>
      <c r="K960" s="88"/>
      <c r="L960" s="88" t="s">
        <v>460</v>
      </c>
    </row>
    <row r="961">
      <c r="J961" s="88"/>
      <c r="K961" s="88"/>
      <c r="L961" s="88" t="s">
        <v>460</v>
      </c>
    </row>
    <row r="962">
      <c r="J962" s="88"/>
      <c r="K962" s="88"/>
      <c r="L962" s="88" t="s">
        <v>460</v>
      </c>
    </row>
    <row r="963">
      <c r="J963" s="88"/>
      <c r="K963" s="88"/>
      <c r="L963" s="88" t="s">
        <v>460</v>
      </c>
    </row>
    <row r="964">
      <c r="J964" s="88"/>
      <c r="K964" s="88"/>
      <c r="L964" s="88" t="s">
        <v>460</v>
      </c>
    </row>
    <row r="965">
      <c r="J965" s="88"/>
      <c r="K965" s="88"/>
      <c r="L965" s="88" t="s">
        <v>460</v>
      </c>
    </row>
    <row r="966">
      <c r="J966" s="88"/>
      <c r="K966" s="88"/>
      <c r="L966" s="88" t="s">
        <v>460</v>
      </c>
    </row>
    <row r="967">
      <c r="J967" s="88"/>
      <c r="K967" s="88"/>
      <c r="L967" s="88" t="s">
        <v>460</v>
      </c>
    </row>
    <row r="968">
      <c r="J968" s="88"/>
      <c r="K968" s="88"/>
      <c r="L968" s="88" t="s">
        <v>460</v>
      </c>
    </row>
    <row r="969">
      <c r="J969" s="88"/>
      <c r="K969" s="88"/>
      <c r="L969" s="88" t="s">
        <v>460</v>
      </c>
    </row>
    <row r="970">
      <c r="J970" s="88"/>
      <c r="K970" s="88"/>
      <c r="L970" s="88" t="s">
        <v>460</v>
      </c>
    </row>
    <row r="971">
      <c r="J971" s="88"/>
      <c r="K971" s="88"/>
      <c r="L971" s="88" t="s">
        <v>460</v>
      </c>
    </row>
    <row r="972">
      <c r="J972" s="88"/>
      <c r="K972" s="88"/>
      <c r="L972" s="88" t="s">
        <v>460</v>
      </c>
    </row>
    <row r="973">
      <c r="J973" s="88"/>
      <c r="K973" s="88"/>
      <c r="L973" s="88" t="s">
        <v>460</v>
      </c>
    </row>
    <row r="974">
      <c r="J974" s="88"/>
      <c r="K974" s="88"/>
      <c r="L974" s="88" t="s">
        <v>460</v>
      </c>
    </row>
    <row r="975">
      <c r="J975" s="88"/>
      <c r="K975" s="88"/>
      <c r="L975" s="88" t="s">
        <v>460</v>
      </c>
    </row>
    <row r="976">
      <c r="J976" s="88"/>
      <c r="K976" s="88"/>
      <c r="L976" s="88" t="s">
        <v>460</v>
      </c>
    </row>
    <row r="977">
      <c r="J977" s="88"/>
      <c r="K977" s="88"/>
      <c r="L977" s="88" t="s">
        <v>460</v>
      </c>
    </row>
    <row r="978">
      <c r="J978" s="88"/>
      <c r="K978" s="88"/>
      <c r="L978" s="88" t="s">
        <v>460</v>
      </c>
    </row>
    <row r="979">
      <c r="J979" s="88"/>
      <c r="K979" s="88"/>
      <c r="L979" s="88" t="s">
        <v>460</v>
      </c>
    </row>
    <row r="980">
      <c r="J980" s="88"/>
      <c r="K980" s="88"/>
      <c r="L980" s="88" t="s">
        <v>460</v>
      </c>
    </row>
    <row r="981">
      <c r="J981" s="88"/>
      <c r="K981" s="88"/>
      <c r="L981" s="88" t="s">
        <v>460</v>
      </c>
    </row>
    <row r="982">
      <c r="J982" s="88"/>
      <c r="K982" s="88"/>
      <c r="L982" s="88" t="s">
        <v>460</v>
      </c>
    </row>
    <row r="983">
      <c r="J983" s="88"/>
      <c r="K983" s="88"/>
      <c r="L983" s="88" t="s">
        <v>460</v>
      </c>
    </row>
    <row r="984">
      <c r="J984" s="88"/>
      <c r="K984" s="88"/>
      <c r="L984" s="88" t="s">
        <v>460</v>
      </c>
    </row>
    <row r="985">
      <c r="J985" s="88"/>
      <c r="K985" s="88"/>
      <c r="L985" s="88" t="s">
        <v>460</v>
      </c>
    </row>
    <row r="986">
      <c r="J986" s="88"/>
      <c r="K986" s="88"/>
      <c r="L986" s="88" t="s">
        <v>460</v>
      </c>
    </row>
    <row r="987">
      <c r="J987" s="88"/>
      <c r="K987" s="88"/>
      <c r="L987" s="88" t="s">
        <v>460</v>
      </c>
    </row>
    <row r="988">
      <c r="J988" s="88"/>
      <c r="K988" s="88"/>
      <c r="L988" s="88" t="s">
        <v>460</v>
      </c>
    </row>
    <row r="989">
      <c r="J989" s="88"/>
      <c r="K989" s="88"/>
      <c r="L989" s="88" t="s">
        <v>460</v>
      </c>
    </row>
    <row r="990">
      <c r="J990" s="88"/>
      <c r="K990" s="88"/>
      <c r="L990" s="88" t="s">
        <v>460</v>
      </c>
    </row>
    <row r="991">
      <c r="J991" s="88"/>
      <c r="K991" s="88"/>
      <c r="L991" s="88" t="s">
        <v>460</v>
      </c>
    </row>
    <row r="992">
      <c r="J992" s="88"/>
      <c r="K992" s="88"/>
      <c r="L992" s="88" t="s">
        <v>460</v>
      </c>
    </row>
    <row r="993">
      <c r="J993" s="88"/>
      <c r="K993" s="88"/>
      <c r="L993" s="88" t="s">
        <v>460</v>
      </c>
    </row>
    <row r="994">
      <c r="J994" s="88"/>
      <c r="K994" s="88"/>
      <c r="L994" s="88" t="s">
        <v>460</v>
      </c>
    </row>
    <row r="995">
      <c r="J995" s="88"/>
      <c r="K995" s="88"/>
      <c r="L995" s="88" t="s">
        <v>460</v>
      </c>
    </row>
    <row r="996">
      <c r="J996" s="88"/>
      <c r="K996" s="88"/>
      <c r="L996" s="88" t="s">
        <v>460</v>
      </c>
    </row>
    <row r="997">
      <c r="J997" s="88"/>
      <c r="K997" s="88"/>
      <c r="L997" s="88" t="s">
        <v>460</v>
      </c>
    </row>
    <row r="998">
      <c r="J998" s="88"/>
      <c r="K998" s="88"/>
      <c r="L998" s="88" t="s">
        <v>460</v>
      </c>
    </row>
    <row r="999">
      <c r="J999" s="88"/>
      <c r="K999" s="88"/>
      <c r="L999" s="88" t="s">
        <v>460</v>
      </c>
    </row>
    <row r="1000">
      <c r="J1000" s="88"/>
      <c r="K1000" s="88"/>
      <c r="L1000" s="88" t="s">
        <v>460</v>
      </c>
    </row>
  </sheetData>
  <mergeCells count="83">
    <mergeCell ref="A32:F36"/>
    <mergeCell ref="A38:C39"/>
    <mergeCell ref="A41:C42"/>
    <mergeCell ref="E41:G42"/>
    <mergeCell ref="C43:C44"/>
    <mergeCell ref="E43:F44"/>
    <mergeCell ref="G43:G44"/>
    <mergeCell ref="A49:B50"/>
    <mergeCell ref="C49:C50"/>
    <mergeCell ref="E49:F50"/>
    <mergeCell ref="G49:G50"/>
    <mergeCell ref="A43:B44"/>
    <mergeCell ref="A45:B46"/>
    <mergeCell ref="C45:C46"/>
    <mergeCell ref="E45:F46"/>
    <mergeCell ref="G45:G46"/>
    <mergeCell ref="A47:B48"/>
    <mergeCell ref="C47:C48"/>
    <mergeCell ref="J52:K53"/>
    <mergeCell ref="L52:L53"/>
    <mergeCell ref="M52:M53"/>
    <mergeCell ref="E47:F48"/>
    <mergeCell ref="G47:G48"/>
    <mergeCell ref="J50:L51"/>
    <mergeCell ref="A51:B52"/>
    <mergeCell ref="C51:C52"/>
    <mergeCell ref="E51:F52"/>
    <mergeCell ref="G51:G52"/>
    <mergeCell ref="J57:K57"/>
    <mergeCell ref="J58:K58"/>
    <mergeCell ref="A53:B54"/>
    <mergeCell ref="C53:C54"/>
    <mergeCell ref="J54:K54"/>
    <mergeCell ref="A55:B56"/>
    <mergeCell ref="C55:C56"/>
    <mergeCell ref="A57:B58"/>
    <mergeCell ref="C57:C58"/>
    <mergeCell ref="A1:F5"/>
    <mergeCell ref="A7:F10"/>
    <mergeCell ref="A12:D12"/>
    <mergeCell ref="E12:F12"/>
    <mergeCell ref="J12:M15"/>
    <mergeCell ref="E13:F16"/>
    <mergeCell ref="E17:F17"/>
    <mergeCell ref="C25:D25"/>
    <mergeCell ref="E25:F25"/>
    <mergeCell ref="G25:H25"/>
    <mergeCell ref="A13:D16"/>
    <mergeCell ref="A17:D17"/>
    <mergeCell ref="A18:D21"/>
    <mergeCell ref="E18:F21"/>
    <mergeCell ref="A22:D23"/>
    <mergeCell ref="E22:F23"/>
    <mergeCell ref="A25:B25"/>
    <mergeCell ref="J16:M17"/>
    <mergeCell ref="J18:M19"/>
    <mergeCell ref="J20:M21"/>
    <mergeCell ref="J22:M23"/>
    <mergeCell ref="J24:M25"/>
    <mergeCell ref="J26:M27"/>
    <mergeCell ref="J28:M29"/>
    <mergeCell ref="A26:B28"/>
    <mergeCell ref="C26:D28"/>
    <mergeCell ref="E26:F28"/>
    <mergeCell ref="G26:H28"/>
    <mergeCell ref="A31:F31"/>
    <mergeCell ref="G31:H31"/>
    <mergeCell ref="G32:H36"/>
    <mergeCell ref="A59:B60"/>
    <mergeCell ref="C59:C60"/>
    <mergeCell ref="A61:B62"/>
    <mergeCell ref="C61:C62"/>
    <mergeCell ref="A63:B64"/>
    <mergeCell ref="C63:C64"/>
    <mergeCell ref="J59:K59"/>
    <mergeCell ref="J60:K60"/>
    <mergeCell ref="J31:M34"/>
    <mergeCell ref="J35:M36"/>
    <mergeCell ref="J37:M38"/>
    <mergeCell ref="J39:M40"/>
    <mergeCell ref="M54:M60"/>
    <mergeCell ref="J55:K55"/>
    <mergeCell ref="J56:K56"/>
  </mergeCells>
  <conditionalFormatting sqref="J60:K1000">
    <cfRule type="containsBlanks" dxfId="0" priority="1">
      <formula>LEN(TRIM(J60))=0</formula>
    </cfRule>
  </conditionalFormatting>
  <hyperlinks>
    <hyperlink r:id="rId1" ref="G3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25"/>
    <col customWidth="1" min="6" max="6" width="15.5"/>
    <col customWidth="1" min="8" max="8" width="15.88"/>
    <col customWidth="1" min="10" max="10" width="24.75"/>
    <col customWidth="1" min="12" max="12" width="15.5"/>
    <col customWidth="1" min="22" max="22" width="15.13"/>
    <col customWidth="1" min="24" max="24" width="15.13"/>
    <col customWidth="1" min="26" max="26" width="15.13"/>
  </cols>
  <sheetData>
    <row r="1">
      <c r="A1" s="1" t="s">
        <v>5</v>
      </c>
    </row>
    <row r="4">
      <c r="A4" s="3" t="s">
        <v>2</v>
      </c>
      <c r="C4" s="4"/>
    </row>
    <row r="7">
      <c r="A7" s="5" t="s">
        <v>3</v>
      </c>
      <c r="B7" s="6"/>
      <c r="C7" s="5" t="s">
        <v>6</v>
      </c>
      <c r="D7" s="6"/>
      <c r="E7" s="8" t="s">
        <v>8</v>
      </c>
      <c r="F7" s="8" t="s">
        <v>9</v>
      </c>
      <c r="G7" s="9" t="s">
        <v>24</v>
      </c>
      <c r="H7" s="6"/>
      <c r="I7" s="5" t="s">
        <v>10</v>
      </c>
      <c r="J7" s="6"/>
      <c r="K7" s="5" t="s">
        <v>12</v>
      </c>
      <c r="L7" s="6"/>
      <c r="M7" s="5" t="s">
        <v>15</v>
      </c>
      <c r="N7" s="6"/>
      <c r="O7" s="5" t="s">
        <v>17</v>
      </c>
      <c r="P7" s="6"/>
      <c r="Q7" s="5" t="s">
        <v>19</v>
      </c>
      <c r="R7" s="6"/>
      <c r="S7" s="5" t="s">
        <v>21</v>
      </c>
      <c r="T7" s="6"/>
      <c r="U7" s="5" t="s">
        <v>22</v>
      </c>
      <c r="V7" s="6"/>
      <c r="W7" s="5" t="s">
        <v>18</v>
      </c>
      <c r="X7" s="6"/>
      <c r="Y7" s="5" t="s">
        <v>23</v>
      </c>
      <c r="Z7" s="6"/>
      <c r="AA7" s="12" t="s">
        <v>28</v>
      </c>
      <c r="AB7" s="6"/>
      <c r="AC7" s="12" t="s">
        <v>25</v>
      </c>
      <c r="AD7" s="6"/>
    </row>
    <row r="8">
      <c r="A8" s="11"/>
      <c r="B8" s="13"/>
      <c r="C8" s="11"/>
      <c r="D8" s="13"/>
      <c r="E8" s="14"/>
      <c r="F8" s="14"/>
      <c r="G8" s="11"/>
      <c r="H8" s="13"/>
      <c r="I8" s="11"/>
      <c r="J8" s="13"/>
      <c r="K8" s="11"/>
      <c r="L8" s="13"/>
      <c r="M8" s="11"/>
      <c r="N8" s="13"/>
      <c r="O8" s="11"/>
      <c r="P8" s="13"/>
      <c r="Q8" s="11"/>
      <c r="R8" s="13"/>
      <c r="S8" s="11"/>
      <c r="T8" s="13"/>
      <c r="U8" s="11"/>
      <c r="V8" s="13"/>
      <c r="W8" s="11"/>
      <c r="X8" s="13"/>
      <c r="Y8" s="11"/>
      <c r="Z8" s="13"/>
      <c r="AA8" s="11"/>
      <c r="AB8" s="13"/>
      <c r="AC8" s="11"/>
      <c r="AD8" s="13"/>
    </row>
    <row r="9">
      <c r="A9" s="17" t="s">
        <v>34</v>
      </c>
      <c r="B9" s="16"/>
      <c r="C9" s="17" t="s">
        <v>52</v>
      </c>
      <c r="D9" s="16"/>
      <c r="E9" s="18" t="s">
        <v>53</v>
      </c>
      <c r="F9" s="20">
        <v>46224.0</v>
      </c>
      <c r="G9" s="15" t="s">
        <v>54</v>
      </c>
      <c r="H9" s="16"/>
      <c r="I9" s="15" t="s">
        <v>55</v>
      </c>
      <c r="J9" s="16"/>
      <c r="K9" s="15" t="s">
        <v>56</v>
      </c>
      <c r="L9" s="16"/>
      <c r="M9" s="21" t="s">
        <v>58</v>
      </c>
      <c r="N9" s="16"/>
      <c r="O9" s="15" t="s">
        <v>59</v>
      </c>
      <c r="P9" s="16"/>
      <c r="Q9" s="17" t="s">
        <v>46</v>
      </c>
      <c r="R9" s="16"/>
      <c r="S9" s="15" t="s">
        <v>65</v>
      </c>
      <c r="T9" s="16"/>
      <c r="U9" s="17" t="s">
        <v>49</v>
      </c>
      <c r="V9" s="16"/>
      <c r="W9" s="21" t="s">
        <v>73</v>
      </c>
      <c r="X9" s="16"/>
      <c r="Y9" s="24" t="s">
        <v>77</v>
      </c>
      <c r="Z9" s="16"/>
      <c r="AA9" s="26" t="s">
        <v>45</v>
      </c>
      <c r="AB9" s="16"/>
      <c r="AC9" s="26"/>
      <c r="AD9" s="16"/>
      <c r="AE9" s="28"/>
    </row>
    <row r="10">
      <c r="A10" s="17" t="s">
        <v>34</v>
      </c>
      <c r="B10" s="16"/>
      <c r="C10" s="17" t="s">
        <v>87</v>
      </c>
      <c r="D10" s="16"/>
      <c r="E10" s="18" t="s">
        <v>91</v>
      </c>
      <c r="F10" s="20">
        <v>46224.0</v>
      </c>
      <c r="G10" s="15" t="s">
        <v>93</v>
      </c>
      <c r="H10" s="16"/>
      <c r="I10" s="15" t="s">
        <v>96</v>
      </c>
      <c r="J10" s="16"/>
      <c r="K10" s="15" t="s">
        <v>56</v>
      </c>
      <c r="L10" s="16"/>
      <c r="M10" s="21" t="s">
        <v>101</v>
      </c>
      <c r="N10" s="16"/>
      <c r="O10" s="15" t="s">
        <v>102</v>
      </c>
      <c r="P10" s="16"/>
      <c r="Q10" s="17" t="s">
        <v>46</v>
      </c>
      <c r="R10" s="16"/>
      <c r="S10" s="30" t="s">
        <v>106</v>
      </c>
      <c r="T10" s="16"/>
      <c r="U10" s="17" t="s">
        <v>49</v>
      </c>
      <c r="V10" s="16"/>
      <c r="W10" s="21" t="s">
        <v>110</v>
      </c>
      <c r="X10" s="16"/>
      <c r="Y10" s="24" t="s">
        <v>111</v>
      </c>
      <c r="Z10" s="16"/>
      <c r="AA10" s="26" t="s">
        <v>45</v>
      </c>
      <c r="AB10" s="16"/>
      <c r="AC10" s="23"/>
      <c r="AD10" s="16"/>
      <c r="AE10" s="28"/>
    </row>
    <row r="11">
      <c r="A11" s="17" t="s">
        <v>34</v>
      </c>
      <c r="B11" s="16"/>
      <c r="C11" s="17" t="s">
        <v>123</v>
      </c>
      <c r="D11" s="16"/>
      <c r="E11" s="18" t="s">
        <v>124</v>
      </c>
      <c r="F11" s="20">
        <v>46224.0</v>
      </c>
      <c r="G11" s="15" t="s">
        <v>127</v>
      </c>
      <c r="H11" s="16"/>
      <c r="I11" s="15" t="s">
        <v>129</v>
      </c>
      <c r="J11" s="16"/>
      <c r="K11" s="15" t="s">
        <v>80</v>
      </c>
      <c r="L11" s="16"/>
      <c r="M11" s="31" t="s">
        <v>133</v>
      </c>
      <c r="N11" s="16"/>
      <c r="O11" s="15" t="s">
        <v>136</v>
      </c>
      <c r="P11" s="16"/>
      <c r="Q11" s="17" t="s">
        <v>46</v>
      </c>
      <c r="R11" s="16"/>
      <c r="S11" s="15" t="s">
        <v>138</v>
      </c>
      <c r="T11" s="16"/>
      <c r="U11" s="17" t="s">
        <v>49</v>
      </c>
      <c r="V11" s="16"/>
      <c r="W11" s="21" t="s">
        <v>140</v>
      </c>
      <c r="X11" s="16"/>
      <c r="Y11" s="24" t="s">
        <v>141</v>
      </c>
      <c r="Z11" s="16"/>
      <c r="AA11" s="26" t="s">
        <v>45</v>
      </c>
      <c r="AB11" s="16"/>
      <c r="AC11" s="23"/>
      <c r="AD11" s="16"/>
      <c r="AE11" s="28"/>
    </row>
    <row r="12">
      <c r="A12" s="17" t="s">
        <v>61</v>
      </c>
      <c r="B12" s="16"/>
      <c r="C12" s="17" t="s">
        <v>63</v>
      </c>
      <c r="D12" s="16"/>
      <c r="E12" s="18" t="s">
        <v>152</v>
      </c>
      <c r="F12" s="20">
        <v>46224.0</v>
      </c>
      <c r="G12" s="15" t="s">
        <v>153</v>
      </c>
      <c r="H12" s="16"/>
      <c r="I12" s="15" t="s">
        <v>155</v>
      </c>
      <c r="J12" s="16"/>
      <c r="K12" s="15" t="s">
        <v>157</v>
      </c>
      <c r="L12" s="16"/>
      <c r="M12" s="21" t="s">
        <v>163</v>
      </c>
      <c r="N12" s="16"/>
      <c r="O12" s="15" t="s">
        <v>165</v>
      </c>
      <c r="P12" s="16"/>
      <c r="Q12" s="17" t="s">
        <v>46</v>
      </c>
      <c r="R12" s="16"/>
      <c r="S12" s="15" t="s">
        <v>167</v>
      </c>
      <c r="T12" s="16"/>
      <c r="U12" s="17" t="s">
        <v>49</v>
      </c>
      <c r="V12" s="16"/>
      <c r="W12" s="21" t="s">
        <v>80</v>
      </c>
      <c r="X12" s="16"/>
      <c r="Y12" s="24" t="s">
        <v>172</v>
      </c>
      <c r="Z12" s="16"/>
      <c r="AA12" s="26" t="s">
        <v>45</v>
      </c>
      <c r="AB12" s="16"/>
      <c r="AC12" s="32"/>
      <c r="AD12" s="16"/>
      <c r="AE12" s="28"/>
    </row>
    <row r="13">
      <c r="A13" s="17" t="s">
        <v>61</v>
      </c>
      <c r="B13" s="16"/>
      <c r="C13" s="17" t="s">
        <v>179</v>
      </c>
      <c r="D13" s="16"/>
      <c r="E13" s="18" t="s">
        <v>181</v>
      </c>
      <c r="F13" s="20">
        <v>46224.0</v>
      </c>
      <c r="G13" s="15" t="s">
        <v>182</v>
      </c>
      <c r="H13" s="16"/>
      <c r="I13" s="15" t="s">
        <v>183</v>
      </c>
      <c r="J13" s="16"/>
      <c r="K13" s="15" t="s">
        <v>157</v>
      </c>
      <c r="L13" s="16"/>
      <c r="M13" s="21" t="s">
        <v>185</v>
      </c>
      <c r="N13" s="16"/>
      <c r="O13" s="15" t="s">
        <v>186</v>
      </c>
      <c r="P13" s="16"/>
      <c r="Q13" s="17" t="s">
        <v>46</v>
      </c>
      <c r="R13" s="16"/>
      <c r="S13" s="15" t="s">
        <v>187</v>
      </c>
      <c r="T13" s="16"/>
      <c r="U13" s="17" t="s">
        <v>188</v>
      </c>
      <c r="V13" s="16"/>
      <c r="W13" s="21" t="s">
        <v>189</v>
      </c>
      <c r="X13" s="16"/>
      <c r="Y13" s="24" t="s">
        <v>193</v>
      </c>
      <c r="Z13" s="16"/>
      <c r="AA13" s="26" t="s">
        <v>45</v>
      </c>
      <c r="AB13" s="16"/>
      <c r="AC13" s="23"/>
      <c r="AD13" s="16"/>
      <c r="AE13" s="28"/>
    </row>
    <row r="14">
      <c r="A14" s="17" t="s">
        <v>116</v>
      </c>
      <c r="B14" s="16"/>
      <c r="C14" s="17" t="s">
        <v>198</v>
      </c>
      <c r="D14" s="16"/>
      <c r="E14" s="18" t="s">
        <v>200</v>
      </c>
      <c r="F14" s="20">
        <v>46224.0</v>
      </c>
      <c r="G14" s="15" t="s">
        <v>201</v>
      </c>
      <c r="H14" s="16"/>
      <c r="I14" s="15" t="s">
        <v>202</v>
      </c>
      <c r="J14" s="16"/>
      <c r="K14" s="15" t="s">
        <v>157</v>
      </c>
      <c r="L14" s="16"/>
      <c r="M14" s="21" t="s">
        <v>219</v>
      </c>
      <c r="N14" s="16"/>
      <c r="O14" s="15" t="s">
        <v>221</v>
      </c>
      <c r="P14" s="16"/>
      <c r="Q14" s="17" t="s">
        <v>46</v>
      </c>
      <c r="R14" s="16"/>
      <c r="S14" s="15" t="s">
        <v>229</v>
      </c>
      <c r="T14" s="16"/>
      <c r="U14" s="17" t="s">
        <v>49</v>
      </c>
      <c r="V14" s="16"/>
      <c r="W14" s="21" t="s">
        <v>232</v>
      </c>
      <c r="X14" s="16"/>
      <c r="Y14" s="24" t="s">
        <v>235</v>
      </c>
      <c r="Z14" s="16"/>
      <c r="AA14" s="26" t="s">
        <v>45</v>
      </c>
      <c r="AB14" s="16"/>
      <c r="AC14" s="32"/>
      <c r="AD14" s="16"/>
      <c r="AE14" s="28"/>
    </row>
    <row r="15">
      <c r="A15" s="17" t="s">
        <v>116</v>
      </c>
      <c r="B15" s="16"/>
      <c r="C15" s="17" t="s">
        <v>243</v>
      </c>
      <c r="D15" s="16"/>
      <c r="E15" s="18" t="s">
        <v>247</v>
      </c>
      <c r="F15" s="20">
        <v>46224.0</v>
      </c>
      <c r="G15" s="15" t="s">
        <v>248</v>
      </c>
      <c r="H15" s="16"/>
      <c r="I15" s="15" t="s">
        <v>252</v>
      </c>
      <c r="J15" s="16"/>
      <c r="K15" s="15" t="s">
        <v>157</v>
      </c>
      <c r="L15" s="16"/>
      <c r="M15" s="21" t="s">
        <v>257</v>
      </c>
      <c r="N15" s="16"/>
      <c r="O15" s="15" t="s">
        <v>258</v>
      </c>
      <c r="P15" s="16"/>
      <c r="Q15" s="17" t="s">
        <v>46</v>
      </c>
      <c r="R15" s="16"/>
      <c r="S15" s="15" t="s">
        <v>260</v>
      </c>
      <c r="T15" s="16"/>
      <c r="U15" s="17" t="s">
        <v>49</v>
      </c>
      <c r="V15" s="16"/>
      <c r="W15" s="21" t="s">
        <v>262</v>
      </c>
      <c r="X15" s="16"/>
      <c r="Y15" s="24" t="s">
        <v>263</v>
      </c>
      <c r="Z15" s="16"/>
      <c r="AA15" s="26" t="s">
        <v>45</v>
      </c>
      <c r="AB15" s="16"/>
      <c r="AC15" s="23"/>
      <c r="AD15" s="16"/>
    </row>
    <row r="16">
      <c r="A16" s="17" t="s">
        <v>116</v>
      </c>
      <c r="B16" s="16"/>
      <c r="C16" s="17" t="s">
        <v>278</v>
      </c>
      <c r="D16" s="16"/>
      <c r="E16" s="18" t="s">
        <v>279</v>
      </c>
      <c r="F16" s="20">
        <v>46224.0</v>
      </c>
      <c r="G16" s="15" t="s">
        <v>280</v>
      </c>
      <c r="H16" s="16"/>
      <c r="I16" s="15" t="s">
        <v>282</v>
      </c>
      <c r="J16" s="16"/>
      <c r="K16" s="15" t="s">
        <v>283</v>
      </c>
      <c r="L16" s="16"/>
      <c r="M16" s="21" t="s">
        <v>285</v>
      </c>
      <c r="N16" s="16"/>
      <c r="O16" s="15" t="s">
        <v>286</v>
      </c>
      <c r="P16" s="16"/>
      <c r="Q16" s="17" t="s">
        <v>46</v>
      </c>
      <c r="R16" s="16"/>
      <c r="S16" s="15" t="s">
        <v>289</v>
      </c>
      <c r="T16" s="16"/>
      <c r="U16" s="17" t="s">
        <v>188</v>
      </c>
      <c r="V16" s="16"/>
      <c r="W16" s="21" t="s">
        <v>232</v>
      </c>
      <c r="X16" s="16"/>
      <c r="Y16" s="24" t="s">
        <v>294</v>
      </c>
      <c r="Z16" s="16"/>
      <c r="AA16" s="26" t="s">
        <v>45</v>
      </c>
      <c r="AB16" s="16"/>
      <c r="AC16" s="23"/>
      <c r="AD16" s="16"/>
    </row>
    <row r="17">
      <c r="A17" s="17" t="s">
        <v>84</v>
      </c>
      <c r="B17" s="16"/>
      <c r="C17" s="17" t="s">
        <v>299</v>
      </c>
      <c r="D17" s="16"/>
      <c r="E17" s="18" t="s">
        <v>300</v>
      </c>
      <c r="F17" s="20">
        <v>46224.0</v>
      </c>
      <c r="G17" s="15" t="s">
        <v>302</v>
      </c>
      <c r="H17" s="16"/>
      <c r="I17" s="15" t="s">
        <v>304</v>
      </c>
      <c r="J17" s="16"/>
      <c r="K17" s="15" t="s">
        <v>157</v>
      </c>
      <c r="L17" s="16"/>
      <c r="M17" s="21" t="s">
        <v>310</v>
      </c>
      <c r="N17" s="16"/>
      <c r="O17" s="15" t="s">
        <v>312</v>
      </c>
      <c r="P17" s="16"/>
      <c r="Q17" s="17" t="s">
        <v>46</v>
      </c>
      <c r="R17" s="16"/>
      <c r="S17" s="15" t="s">
        <v>316</v>
      </c>
      <c r="T17" s="16"/>
      <c r="U17" s="17" t="s">
        <v>49</v>
      </c>
      <c r="V17" s="16"/>
      <c r="W17" s="21" t="s">
        <v>318</v>
      </c>
      <c r="X17" s="16"/>
      <c r="Y17" s="24" t="s">
        <v>320</v>
      </c>
      <c r="Z17" s="16"/>
      <c r="AA17" s="26" t="s">
        <v>45</v>
      </c>
      <c r="AB17" s="16"/>
      <c r="AC17" s="23"/>
      <c r="AD17" s="16"/>
    </row>
    <row r="18">
      <c r="A18" s="17" t="s">
        <v>84</v>
      </c>
      <c r="B18" s="16"/>
      <c r="C18" s="17" t="s">
        <v>324</v>
      </c>
      <c r="D18" s="16"/>
      <c r="E18" s="18" t="s">
        <v>326</v>
      </c>
      <c r="F18" s="20">
        <v>46224.0</v>
      </c>
      <c r="G18" s="15" t="s">
        <v>328</v>
      </c>
      <c r="H18" s="16"/>
      <c r="I18" s="15" t="s">
        <v>129</v>
      </c>
      <c r="J18" s="16"/>
      <c r="K18" s="15" t="s">
        <v>157</v>
      </c>
      <c r="L18" s="16"/>
      <c r="M18" s="21" t="s">
        <v>310</v>
      </c>
      <c r="N18" s="16"/>
      <c r="O18" s="15" t="s">
        <v>333</v>
      </c>
      <c r="P18" s="16"/>
      <c r="Q18" s="17" t="s">
        <v>46</v>
      </c>
      <c r="R18" s="16"/>
      <c r="S18" s="15" t="s">
        <v>335</v>
      </c>
      <c r="T18" s="16"/>
      <c r="U18" s="17" t="s">
        <v>49</v>
      </c>
      <c r="V18" s="16"/>
      <c r="W18" s="21" t="s">
        <v>80</v>
      </c>
      <c r="X18" s="16"/>
      <c r="Y18" s="24" t="s">
        <v>337</v>
      </c>
      <c r="Z18" s="16"/>
      <c r="AA18" s="26" t="s">
        <v>45</v>
      </c>
      <c r="AB18" s="16"/>
      <c r="AC18" s="23"/>
      <c r="AD18" s="16"/>
    </row>
    <row r="19">
      <c r="A19" s="17" t="s">
        <v>84</v>
      </c>
      <c r="B19" s="16"/>
      <c r="C19" s="17" t="s">
        <v>303</v>
      </c>
      <c r="D19" s="16"/>
      <c r="E19" s="18" t="s">
        <v>343</v>
      </c>
      <c r="F19" s="20">
        <v>46224.0</v>
      </c>
      <c r="G19" s="15" t="s">
        <v>344</v>
      </c>
      <c r="H19" s="16"/>
      <c r="I19" s="15" t="s">
        <v>346</v>
      </c>
      <c r="J19" s="16"/>
      <c r="K19" s="15" t="s">
        <v>283</v>
      </c>
      <c r="L19" s="16"/>
      <c r="M19" s="21" t="s">
        <v>350</v>
      </c>
      <c r="N19" s="16"/>
      <c r="O19" s="15" t="s">
        <v>352</v>
      </c>
      <c r="P19" s="16"/>
      <c r="Q19" s="17" t="s">
        <v>46</v>
      </c>
      <c r="R19" s="16"/>
      <c r="S19" s="15" t="s">
        <v>354</v>
      </c>
      <c r="T19" s="16"/>
      <c r="U19" s="17" t="s">
        <v>49</v>
      </c>
      <c r="V19" s="16"/>
      <c r="W19" s="21" t="s">
        <v>356</v>
      </c>
      <c r="X19" s="16"/>
      <c r="Y19" s="24" t="s">
        <v>357</v>
      </c>
      <c r="Z19" s="16"/>
      <c r="AA19" s="26" t="s">
        <v>45</v>
      </c>
      <c r="AB19" s="16"/>
      <c r="AC19" s="23"/>
      <c r="AD19" s="16"/>
    </row>
    <row r="20">
      <c r="A20" s="17" t="s">
        <v>109</v>
      </c>
      <c r="B20" s="16"/>
      <c r="C20" s="17" t="s">
        <v>144</v>
      </c>
      <c r="D20" s="16"/>
      <c r="E20" s="18" t="s">
        <v>364</v>
      </c>
      <c r="F20" s="20">
        <v>46224.0</v>
      </c>
      <c r="G20" s="15" t="s">
        <v>366</v>
      </c>
      <c r="H20" s="16"/>
      <c r="I20" s="15" t="s">
        <v>368</v>
      </c>
      <c r="J20" s="16"/>
      <c r="K20" s="15" t="s">
        <v>157</v>
      </c>
      <c r="L20" s="16"/>
      <c r="M20" s="21" t="s">
        <v>369</v>
      </c>
      <c r="N20" s="16"/>
      <c r="O20" s="15" t="s">
        <v>370</v>
      </c>
      <c r="P20" s="16"/>
      <c r="Q20" s="17" t="s">
        <v>46</v>
      </c>
      <c r="R20" s="16"/>
      <c r="S20" s="15" t="s">
        <v>373</v>
      </c>
      <c r="T20" s="16"/>
      <c r="U20" s="17" t="s">
        <v>49</v>
      </c>
      <c r="V20" s="16"/>
      <c r="W20" s="21" t="s">
        <v>374</v>
      </c>
      <c r="X20" s="16"/>
      <c r="Y20" s="24" t="s">
        <v>375</v>
      </c>
      <c r="Z20" s="16"/>
      <c r="AA20" s="26" t="s">
        <v>45</v>
      </c>
      <c r="AB20" s="16"/>
      <c r="AC20" s="23"/>
      <c r="AD20" s="16"/>
    </row>
    <row r="21">
      <c r="A21" s="17" t="s">
        <v>109</v>
      </c>
      <c r="B21" s="16"/>
      <c r="C21" s="17" t="s">
        <v>382</v>
      </c>
      <c r="D21" s="16"/>
      <c r="E21" s="18" t="s">
        <v>383</v>
      </c>
      <c r="F21" s="20">
        <v>46224.0</v>
      </c>
      <c r="G21" s="15" t="s">
        <v>384</v>
      </c>
      <c r="H21" s="16"/>
      <c r="I21" s="15" t="s">
        <v>385</v>
      </c>
      <c r="J21" s="16"/>
      <c r="K21" s="15" t="s">
        <v>386</v>
      </c>
      <c r="L21" s="16"/>
      <c r="M21" s="21" t="s">
        <v>387</v>
      </c>
      <c r="N21" s="16"/>
      <c r="O21" s="15" t="s">
        <v>388</v>
      </c>
      <c r="P21" s="16"/>
      <c r="Q21" s="17" t="s">
        <v>46</v>
      </c>
      <c r="R21" s="16"/>
      <c r="S21" s="15" t="s">
        <v>389</v>
      </c>
      <c r="T21" s="16"/>
      <c r="U21" s="17" t="s">
        <v>49</v>
      </c>
      <c r="V21" s="16"/>
      <c r="W21" s="21" t="s">
        <v>390</v>
      </c>
      <c r="X21" s="16"/>
      <c r="Y21" s="24" t="s">
        <v>391</v>
      </c>
      <c r="Z21" s="16"/>
      <c r="AA21" s="26" t="s">
        <v>45</v>
      </c>
      <c r="AB21" s="16"/>
      <c r="AC21" s="23"/>
      <c r="AD21" s="16"/>
    </row>
    <row r="22">
      <c r="A22" s="17" t="s">
        <v>109</v>
      </c>
      <c r="B22" s="16"/>
      <c r="C22" s="17" t="s">
        <v>393</v>
      </c>
      <c r="D22" s="16"/>
      <c r="E22" s="18" t="s">
        <v>394</v>
      </c>
      <c r="F22" s="20">
        <v>46224.0</v>
      </c>
      <c r="G22" s="15" t="s">
        <v>395</v>
      </c>
      <c r="H22" s="16"/>
      <c r="I22" s="15" t="s">
        <v>396</v>
      </c>
      <c r="J22" s="16"/>
      <c r="K22" s="15" t="s">
        <v>397</v>
      </c>
      <c r="L22" s="16"/>
      <c r="M22" s="21" t="s">
        <v>369</v>
      </c>
      <c r="N22" s="16"/>
      <c r="O22" s="15" t="s">
        <v>398</v>
      </c>
      <c r="P22" s="16"/>
      <c r="Q22" s="17" t="s">
        <v>46</v>
      </c>
      <c r="R22" s="16"/>
      <c r="S22" s="15" t="s">
        <v>399</v>
      </c>
      <c r="T22" s="16"/>
      <c r="U22" s="17" t="s">
        <v>49</v>
      </c>
      <c r="V22" s="16"/>
      <c r="W22" s="21" t="s">
        <v>401</v>
      </c>
      <c r="X22" s="16"/>
      <c r="Y22" s="24" t="s">
        <v>403</v>
      </c>
      <c r="Z22" s="16"/>
      <c r="AA22" s="26" t="s">
        <v>45</v>
      </c>
      <c r="AB22" s="16"/>
      <c r="AC22" s="23"/>
      <c r="AD22" s="16"/>
    </row>
    <row r="23">
      <c r="A23" s="17" t="s">
        <v>130</v>
      </c>
      <c r="B23" s="16"/>
      <c r="C23" s="17" t="s">
        <v>410</v>
      </c>
      <c r="D23" s="16"/>
      <c r="E23" s="18" t="s">
        <v>411</v>
      </c>
      <c r="F23" s="20">
        <v>46224.0</v>
      </c>
      <c r="G23" s="15" t="s">
        <v>413</v>
      </c>
      <c r="H23" s="16"/>
      <c r="I23" s="15" t="s">
        <v>414</v>
      </c>
      <c r="J23" s="16"/>
      <c r="K23" s="15" t="s">
        <v>157</v>
      </c>
      <c r="L23" s="16"/>
      <c r="M23" s="21" t="s">
        <v>416</v>
      </c>
      <c r="N23" s="16"/>
      <c r="O23" s="15" t="s">
        <v>410</v>
      </c>
      <c r="P23" s="16"/>
      <c r="Q23" s="17" t="s">
        <v>46</v>
      </c>
      <c r="R23" s="16"/>
      <c r="S23" s="15" t="s">
        <v>417</v>
      </c>
      <c r="T23" s="16"/>
      <c r="U23" s="17" t="s">
        <v>49</v>
      </c>
      <c r="V23" s="16"/>
      <c r="W23" s="21" t="s">
        <v>418</v>
      </c>
      <c r="X23" s="16"/>
      <c r="Y23" s="24" t="s">
        <v>419</v>
      </c>
      <c r="Z23" s="16"/>
      <c r="AA23" s="26" t="s">
        <v>45</v>
      </c>
      <c r="AB23" s="16"/>
      <c r="AC23" s="23"/>
      <c r="AD23" s="16"/>
    </row>
    <row r="24">
      <c r="A24" s="17" t="s">
        <v>130</v>
      </c>
      <c r="B24" s="16"/>
      <c r="C24" s="17" t="s">
        <v>421</v>
      </c>
      <c r="D24" s="16"/>
      <c r="E24" s="18" t="s">
        <v>422</v>
      </c>
      <c r="F24" s="20">
        <v>46224.0</v>
      </c>
      <c r="G24" s="15" t="s">
        <v>423</v>
      </c>
      <c r="H24" s="16"/>
      <c r="I24" s="15" t="s">
        <v>424</v>
      </c>
      <c r="J24" s="16"/>
      <c r="K24" s="15" t="s">
        <v>425</v>
      </c>
      <c r="L24" s="16"/>
      <c r="M24" s="21" t="s">
        <v>426</v>
      </c>
      <c r="N24" s="16"/>
      <c r="O24" s="15" t="s">
        <v>421</v>
      </c>
      <c r="P24" s="16"/>
      <c r="Q24" s="17" t="s">
        <v>46</v>
      </c>
      <c r="R24" s="16"/>
      <c r="S24" s="15" t="s">
        <v>429</v>
      </c>
      <c r="T24" s="16"/>
      <c r="U24" s="17" t="s">
        <v>188</v>
      </c>
      <c r="V24" s="16"/>
      <c r="W24" s="21" t="s">
        <v>430</v>
      </c>
      <c r="X24" s="16"/>
      <c r="Y24" s="24" t="s">
        <v>431</v>
      </c>
      <c r="Z24" s="16"/>
      <c r="AA24" s="26" t="s">
        <v>45</v>
      </c>
      <c r="AB24" s="16"/>
      <c r="AC24" s="23"/>
      <c r="AD24" s="16"/>
    </row>
    <row r="25">
      <c r="A25" s="17" t="s">
        <v>143</v>
      </c>
      <c r="B25" s="16"/>
      <c r="C25" s="17" t="s">
        <v>432</v>
      </c>
      <c r="D25" s="16"/>
      <c r="E25" s="18" t="s">
        <v>433</v>
      </c>
      <c r="F25" s="20">
        <v>46224.0</v>
      </c>
      <c r="G25" s="15" t="s">
        <v>434</v>
      </c>
      <c r="H25" s="16"/>
      <c r="I25" s="15" t="s">
        <v>435</v>
      </c>
      <c r="J25" s="16"/>
      <c r="K25" s="15" t="s">
        <v>157</v>
      </c>
      <c r="L25" s="16"/>
      <c r="M25" s="21" t="s">
        <v>436</v>
      </c>
      <c r="N25" s="16"/>
      <c r="O25" s="15" t="s">
        <v>437</v>
      </c>
      <c r="P25" s="16"/>
      <c r="Q25" s="17" t="s">
        <v>46</v>
      </c>
      <c r="R25" s="16"/>
      <c r="S25" s="15" t="s">
        <v>312</v>
      </c>
      <c r="T25" s="16"/>
      <c r="U25" s="17" t="s">
        <v>49</v>
      </c>
      <c r="V25" s="16"/>
      <c r="W25" s="21" t="s">
        <v>438</v>
      </c>
      <c r="X25" s="16"/>
      <c r="Y25" s="24" t="s">
        <v>439</v>
      </c>
      <c r="Z25" s="16"/>
      <c r="AA25" s="26" t="s">
        <v>45</v>
      </c>
      <c r="AB25" s="16"/>
      <c r="AC25" s="23"/>
      <c r="AD25" s="16"/>
    </row>
    <row r="26">
      <c r="A26" s="17" t="s">
        <v>143</v>
      </c>
      <c r="B26" s="16"/>
      <c r="C26" s="17" t="s">
        <v>440</v>
      </c>
      <c r="D26" s="16"/>
      <c r="E26" s="18" t="s">
        <v>441</v>
      </c>
      <c r="F26" s="20">
        <v>46224.0</v>
      </c>
      <c r="G26" s="15" t="s">
        <v>440</v>
      </c>
      <c r="H26" s="16"/>
      <c r="I26" s="15" t="s">
        <v>442</v>
      </c>
      <c r="J26" s="16"/>
      <c r="K26" s="15" t="s">
        <v>157</v>
      </c>
      <c r="L26" s="16"/>
      <c r="M26" s="21" t="s">
        <v>443</v>
      </c>
      <c r="N26" s="16"/>
      <c r="O26" s="15" t="s">
        <v>444</v>
      </c>
      <c r="P26" s="16"/>
      <c r="Q26" s="17" t="s">
        <v>46</v>
      </c>
      <c r="R26" s="16"/>
      <c r="S26" s="15" t="s">
        <v>445</v>
      </c>
      <c r="T26" s="16"/>
      <c r="U26" s="17" t="s">
        <v>188</v>
      </c>
      <c r="V26" s="16"/>
      <c r="W26" s="21" t="s">
        <v>446</v>
      </c>
      <c r="X26" s="16"/>
      <c r="Y26" s="24" t="s">
        <v>447</v>
      </c>
      <c r="Z26" s="16"/>
      <c r="AA26" s="26" t="s">
        <v>45</v>
      </c>
      <c r="AB26" s="16"/>
      <c r="AC26" s="23"/>
      <c r="AD26" s="16"/>
    </row>
    <row r="27">
      <c r="A27" s="17" t="s">
        <v>205</v>
      </c>
      <c r="B27" s="16"/>
      <c r="C27" s="17" t="s">
        <v>448</v>
      </c>
      <c r="D27" s="16"/>
      <c r="E27" s="18" t="s">
        <v>449</v>
      </c>
      <c r="F27" s="20">
        <v>46224.0</v>
      </c>
      <c r="G27" s="15" t="s">
        <v>450</v>
      </c>
      <c r="H27" s="16"/>
      <c r="I27" s="15" t="s">
        <v>451</v>
      </c>
      <c r="J27" s="16"/>
      <c r="K27" s="15" t="s">
        <v>157</v>
      </c>
      <c r="L27" s="16"/>
      <c r="M27" s="21" t="s">
        <v>452</v>
      </c>
      <c r="N27" s="16"/>
      <c r="O27" s="15" t="s">
        <v>453</v>
      </c>
      <c r="P27" s="16"/>
      <c r="Q27" s="17" t="s">
        <v>46</v>
      </c>
      <c r="R27" s="16"/>
      <c r="S27" s="15" t="s">
        <v>177</v>
      </c>
      <c r="T27" s="16"/>
      <c r="U27" s="17" t="s">
        <v>188</v>
      </c>
      <c r="V27" s="16"/>
      <c r="W27" s="21" t="s">
        <v>454</v>
      </c>
      <c r="X27" s="16"/>
      <c r="Y27" s="24" t="s">
        <v>455</v>
      </c>
      <c r="Z27" s="16"/>
      <c r="AA27" s="26" t="s">
        <v>45</v>
      </c>
      <c r="AB27" s="16"/>
      <c r="AC27" s="23"/>
      <c r="AD27" s="16"/>
    </row>
    <row r="28">
      <c r="A28" s="17" t="s">
        <v>218</v>
      </c>
      <c r="B28" s="16"/>
      <c r="C28" s="17" t="s">
        <v>220</v>
      </c>
      <c r="D28" s="16"/>
      <c r="E28" s="18" t="s">
        <v>456</v>
      </c>
      <c r="F28" s="20">
        <v>46224.0</v>
      </c>
      <c r="G28" s="15" t="s">
        <v>450</v>
      </c>
      <c r="H28" s="16"/>
      <c r="I28" s="15" t="s">
        <v>457</v>
      </c>
      <c r="J28" s="16"/>
      <c r="K28" s="15" t="s">
        <v>157</v>
      </c>
      <c r="L28" s="16"/>
      <c r="M28" s="21" t="s">
        <v>458</v>
      </c>
      <c r="N28" s="16"/>
      <c r="O28" s="15" t="s">
        <v>459</v>
      </c>
      <c r="P28" s="16"/>
      <c r="Q28" s="17" t="s">
        <v>46</v>
      </c>
      <c r="R28" s="16"/>
      <c r="S28" s="15" t="s">
        <v>177</v>
      </c>
      <c r="T28" s="16"/>
      <c r="U28" s="17" t="s">
        <v>253</v>
      </c>
      <c r="V28" s="16"/>
      <c r="W28" s="21" t="s">
        <v>461</v>
      </c>
      <c r="X28" s="16"/>
      <c r="Y28" s="24" t="s">
        <v>462</v>
      </c>
      <c r="Z28" s="16"/>
      <c r="AA28" s="26" t="s">
        <v>45</v>
      </c>
      <c r="AB28" s="16"/>
      <c r="AC28" s="23"/>
      <c r="AD28" s="16"/>
    </row>
    <row r="29">
      <c r="A29" s="17" t="s">
        <v>264</v>
      </c>
      <c r="B29" s="16"/>
      <c r="C29" s="17" t="s">
        <v>463</v>
      </c>
      <c r="D29" s="16"/>
      <c r="E29" s="18" t="s">
        <v>464</v>
      </c>
      <c r="F29" s="20">
        <v>46224.0</v>
      </c>
      <c r="G29" s="15" t="s">
        <v>465</v>
      </c>
      <c r="H29" s="16"/>
      <c r="I29" s="15" t="s">
        <v>466</v>
      </c>
      <c r="J29" s="16"/>
      <c r="K29" s="15" t="s">
        <v>157</v>
      </c>
      <c r="L29" s="16"/>
      <c r="M29" s="21" t="s">
        <v>467</v>
      </c>
      <c r="N29" s="16"/>
      <c r="O29" s="15" t="s">
        <v>468</v>
      </c>
      <c r="P29" s="16"/>
      <c r="Q29" s="17" t="s">
        <v>46</v>
      </c>
      <c r="R29" s="16"/>
      <c r="S29" s="15" t="s">
        <v>469</v>
      </c>
      <c r="T29" s="16"/>
      <c r="U29" s="17" t="s">
        <v>188</v>
      </c>
      <c r="V29" s="16"/>
      <c r="W29" s="23" t="s">
        <v>275</v>
      </c>
      <c r="X29" s="16"/>
      <c r="Y29" s="24" t="s">
        <v>470</v>
      </c>
      <c r="Z29" s="16"/>
      <c r="AA29" s="26" t="s">
        <v>45</v>
      </c>
      <c r="AB29" s="16"/>
      <c r="AC29" s="23"/>
      <c r="AD29" s="16"/>
    </row>
    <row r="30">
      <c r="A30" s="17" t="s">
        <v>400</v>
      </c>
      <c r="B30" s="16"/>
      <c r="C30" s="17" t="s">
        <v>400</v>
      </c>
      <c r="D30" s="16"/>
      <c r="E30" s="18" t="s">
        <v>471</v>
      </c>
      <c r="F30" s="20">
        <v>46224.0</v>
      </c>
      <c r="G30" s="15" t="s">
        <v>472</v>
      </c>
      <c r="H30" s="16"/>
      <c r="I30" s="15" t="s">
        <v>473</v>
      </c>
      <c r="J30" s="16"/>
      <c r="K30" s="15" t="s">
        <v>157</v>
      </c>
      <c r="L30" s="16"/>
      <c r="M30" s="21" t="s">
        <v>474</v>
      </c>
      <c r="N30" s="16"/>
      <c r="O30" s="15" t="s">
        <v>475</v>
      </c>
      <c r="P30" s="16"/>
      <c r="Q30" s="17" t="s">
        <v>46</v>
      </c>
      <c r="R30" s="16"/>
      <c r="S30" s="15" t="s">
        <v>476</v>
      </c>
      <c r="T30" s="16"/>
      <c r="U30" s="17" t="s">
        <v>49</v>
      </c>
      <c r="V30" s="16"/>
      <c r="W30" s="90"/>
      <c r="X30" s="16"/>
      <c r="Y30" s="24" t="s">
        <v>477</v>
      </c>
      <c r="Z30" s="16"/>
      <c r="AA30" s="26" t="s">
        <v>45</v>
      </c>
      <c r="AB30" s="16"/>
      <c r="AC30" s="23"/>
      <c r="AD30" s="16"/>
    </row>
  </sheetData>
  <mergeCells count="327">
    <mergeCell ref="Q10:R10"/>
    <mergeCell ref="S10:T10"/>
    <mergeCell ref="U10:V10"/>
    <mergeCell ref="W10:X10"/>
    <mergeCell ref="Y10:Z10"/>
    <mergeCell ref="AA10:AB10"/>
    <mergeCell ref="AC10:AD10"/>
    <mergeCell ref="A10:B10"/>
    <mergeCell ref="C10:D10"/>
    <mergeCell ref="G10:H10"/>
    <mergeCell ref="I10:J10"/>
    <mergeCell ref="K10:L10"/>
    <mergeCell ref="M10:N10"/>
    <mergeCell ref="O10:P10"/>
    <mergeCell ref="Q11:R11"/>
    <mergeCell ref="S11:T11"/>
    <mergeCell ref="U11:V11"/>
    <mergeCell ref="W11:X11"/>
    <mergeCell ref="Y11:Z11"/>
    <mergeCell ref="AA11:AB11"/>
    <mergeCell ref="AC11:AD11"/>
    <mergeCell ref="A11:B11"/>
    <mergeCell ref="C11:D11"/>
    <mergeCell ref="G11:H11"/>
    <mergeCell ref="I11:J11"/>
    <mergeCell ref="K11:L11"/>
    <mergeCell ref="M11:N11"/>
    <mergeCell ref="O11:P11"/>
    <mergeCell ref="Q12:R12"/>
    <mergeCell ref="S12:T12"/>
    <mergeCell ref="U12:V12"/>
    <mergeCell ref="W12:X12"/>
    <mergeCell ref="Y12:Z12"/>
    <mergeCell ref="AA12:AB12"/>
    <mergeCell ref="AC12:AD12"/>
    <mergeCell ref="A12:B12"/>
    <mergeCell ref="C12:D12"/>
    <mergeCell ref="G12:H12"/>
    <mergeCell ref="I12:J12"/>
    <mergeCell ref="K12:L12"/>
    <mergeCell ref="M12:N12"/>
    <mergeCell ref="O12:P12"/>
    <mergeCell ref="Q13:R13"/>
    <mergeCell ref="S13:T13"/>
    <mergeCell ref="U13:V13"/>
    <mergeCell ref="W13:X13"/>
    <mergeCell ref="Y13:Z13"/>
    <mergeCell ref="AA13:AB13"/>
    <mergeCell ref="AC13:AD13"/>
    <mergeCell ref="A13:B13"/>
    <mergeCell ref="C13:D13"/>
    <mergeCell ref="G13:H13"/>
    <mergeCell ref="I13:J13"/>
    <mergeCell ref="K13:L13"/>
    <mergeCell ref="M13:N13"/>
    <mergeCell ref="O13:P13"/>
    <mergeCell ref="Q14:R14"/>
    <mergeCell ref="S14:T14"/>
    <mergeCell ref="U14:V14"/>
    <mergeCell ref="W14:X14"/>
    <mergeCell ref="Y14:Z14"/>
    <mergeCell ref="AA14:AB14"/>
    <mergeCell ref="AC14:AD14"/>
    <mergeCell ref="A14:B14"/>
    <mergeCell ref="C14:D14"/>
    <mergeCell ref="G14:H14"/>
    <mergeCell ref="I14:J14"/>
    <mergeCell ref="K14:L14"/>
    <mergeCell ref="M14:N14"/>
    <mergeCell ref="O14:P14"/>
    <mergeCell ref="Q15:R15"/>
    <mergeCell ref="S15:T15"/>
    <mergeCell ref="U15:V15"/>
    <mergeCell ref="W15:X15"/>
    <mergeCell ref="Y15:Z15"/>
    <mergeCell ref="AA15:AB15"/>
    <mergeCell ref="AC15:AD15"/>
    <mergeCell ref="A15:B15"/>
    <mergeCell ref="C15:D15"/>
    <mergeCell ref="G15:H15"/>
    <mergeCell ref="I15:J15"/>
    <mergeCell ref="K15:L15"/>
    <mergeCell ref="M15:N15"/>
    <mergeCell ref="O15:P15"/>
    <mergeCell ref="Q16:R16"/>
    <mergeCell ref="S16:T16"/>
    <mergeCell ref="U16:V16"/>
    <mergeCell ref="W16:X16"/>
    <mergeCell ref="Y16:Z16"/>
    <mergeCell ref="AA16:AB16"/>
    <mergeCell ref="AC16:AD16"/>
    <mergeCell ref="A16:B16"/>
    <mergeCell ref="C16:D16"/>
    <mergeCell ref="G16:H16"/>
    <mergeCell ref="I16:J16"/>
    <mergeCell ref="K16:L16"/>
    <mergeCell ref="M16:N16"/>
    <mergeCell ref="O16:P16"/>
    <mergeCell ref="Q24:R24"/>
    <mergeCell ref="S24:T24"/>
    <mergeCell ref="U24:V24"/>
    <mergeCell ref="W24:X24"/>
    <mergeCell ref="Y24:Z24"/>
    <mergeCell ref="AA24:AB24"/>
    <mergeCell ref="AC24:AD24"/>
    <mergeCell ref="A24:B24"/>
    <mergeCell ref="C24:D24"/>
    <mergeCell ref="G24:H24"/>
    <mergeCell ref="I24:J24"/>
    <mergeCell ref="K24:L24"/>
    <mergeCell ref="M24:N24"/>
    <mergeCell ref="O24:P24"/>
    <mergeCell ref="Q25:R25"/>
    <mergeCell ref="S25:T25"/>
    <mergeCell ref="U25:V25"/>
    <mergeCell ref="W25:X25"/>
    <mergeCell ref="Y25:Z25"/>
    <mergeCell ref="AA25:AB25"/>
    <mergeCell ref="AC25:AD25"/>
    <mergeCell ref="A25:B25"/>
    <mergeCell ref="C25:D25"/>
    <mergeCell ref="G25:H25"/>
    <mergeCell ref="I25:J25"/>
    <mergeCell ref="K25:L25"/>
    <mergeCell ref="M25:N25"/>
    <mergeCell ref="O25:P25"/>
    <mergeCell ref="Q26:R26"/>
    <mergeCell ref="S26:T26"/>
    <mergeCell ref="U26:V26"/>
    <mergeCell ref="W26:X26"/>
    <mergeCell ref="Y26:Z26"/>
    <mergeCell ref="AA26:AB26"/>
    <mergeCell ref="AC26:AD26"/>
    <mergeCell ref="A26:B26"/>
    <mergeCell ref="C26:D26"/>
    <mergeCell ref="G26:H26"/>
    <mergeCell ref="I26:J26"/>
    <mergeCell ref="K26:L26"/>
    <mergeCell ref="M26:N26"/>
    <mergeCell ref="O26:P26"/>
    <mergeCell ref="Q27:R27"/>
    <mergeCell ref="S27:T27"/>
    <mergeCell ref="U27:V27"/>
    <mergeCell ref="W27:X27"/>
    <mergeCell ref="Y27:Z27"/>
    <mergeCell ref="AA27:AB27"/>
    <mergeCell ref="AC27:AD27"/>
    <mergeCell ref="A27:B27"/>
    <mergeCell ref="C27:D27"/>
    <mergeCell ref="G27:H27"/>
    <mergeCell ref="I27:J27"/>
    <mergeCell ref="K27:L27"/>
    <mergeCell ref="M27:N27"/>
    <mergeCell ref="O27:P27"/>
    <mergeCell ref="Q28:R28"/>
    <mergeCell ref="S28:T28"/>
    <mergeCell ref="U28:V28"/>
    <mergeCell ref="W28:X28"/>
    <mergeCell ref="Y28:Z28"/>
    <mergeCell ref="AA28:AB28"/>
    <mergeCell ref="AC28:AD28"/>
    <mergeCell ref="A28:B28"/>
    <mergeCell ref="C28:D28"/>
    <mergeCell ref="G28:H28"/>
    <mergeCell ref="I28:J28"/>
    <mergeCell ref="K28:L28"/>
    <mergeCell ref="M28:N28"/>
    <mergeCell ref="O28:P28"/>
    <mergeCell ref="Q29:R29"/>
    <mergeCell ref="S29:T29"/>
    <mergeCell ref="U29:V29"/>
    <mergeCell ref="W29:X29"/>
    <mergeCell ref="Y29:Z29"/>
    <mergeCell ref="AA29:AB29"/>
    <mergeCell ref="AC29:AD29"/>
    <mergeCell ref="A29:B29"/>
    <mergeCell ref="C29:D29"/>
    <mergeCell ref="G29:H29"/>
    <mergeCell ref="I29:J29"/>
    <mergeCell ref="K29:L29"/>
    <mergeCell ref="M29:N29"/>
    <mergeCell ref="O29:P29"/>
    <mergeCell ref="G7:H8"/>
    <mergeCell ref="I7:J8"/>
    <mergeCell ref="Y7:Z8"/>
    <mergeCell ref="AA7:AB8"/>
    <mergeCell ref="AC7:AD8"/>
    <mergeCell ref="K7:L8"/>
    <mergeCell ref="M7:N8"/>
    <mergeCell ref="O7:P8"/>
    <mergeCell ref="Q7:R8"/>
    <mergeCell ref="S7:T8"/>
    <mergeCell ref="U7:V8"/>
    <mergeCell ref="W7:X8"/>
    <mergeCell ref="A1:N3"/>
    <mergeCell ref="A4:B5"/>
    <mergeCell ref="C4:D5"/>
    <mergeCell ref="A7:B8"/>
    <mergeCell ref="C7:D8"/>
    <mergeCell ref="E7:E8"/>
    <mergeCell ref="F7:F8"/>
    <mergeCell ref="Q9:R9"/>
    <mergeCell ref="S9:T9"/>
    <mergeCell ref="U9:V9"/>
    <mergeCell ref="W9:X9"/>
    <mergeCell ref="Y9:Z9"/>
    <mergeCell ref="AA9:AB9"/>
    <mergeCell ref="AC9:AD9"/>
    <mergeCell ref="A9:B9"/>
    <mergeCell ref="C9:D9"/>
    <mergeCell ref="G9:H9"/>
    <mergeCell ref="I9:J9"/>
    <mergeCell ref="K9:L9"/>
    <mergeCell ref="M9:N9"/>
    <mergeCell ref="O9:P9"/>
    <mergeCell ref="Q30:R30"/>
    <mergeCell ref="S30:T30"/>
    <mergeCell ref="U30:V30"/>
    <mergeCell ref="W30:X30"/>
    <mergeCell ref="Y30:Z30"/>
    <mergeCell ref="AA30:AB30"/>
    <mergeCell ref="AC30:AD30"/>
    <mergeCell ref="A30:B30"/>
    <mergeCell ref="C30:D30"/>
    <mergeCell ref="G30:H30"/>
    <mergeCell ref="I30:J30"/>
    <mergeCell ref="K30:L30"/>
    <mergeCell ref="M30:N30"/>
    <mergeCell ref="O30:P30"/>
    <mergeCell ref="Q17:R17"/>
    <mergeCell ref="S17:T17"/>
    <mergeCell ref="U17:V17"/>
    <mergeCell ref="W17:X17"/>
    <mergeCell ref="Y17:Z17"/>
    <mergeCell ref="AA17:AB17"/>
    <mergeCell ref="AC17:AD17"/>
    <mergeCell ref="A17:B17"/>
    <mergeCell ref="C17:D17"/>
    <mergeCell ref="G17:H17"/>
    <mergeCell ref="I17:J17"/>
    <mergeCell ref="K17:L17"/>
    <mergeCell ref="M17:N17"/>
    <mergeCell ref="O17:P17"/>
    <mergeCell ref="Q18:R18"/>
    <mergeCell ref="S18:T18"/>
    <mergeCell ref="U18:V18"/>
    <mergeCell ref="W18:X18"/>
    <mergeCell ref="Y18:Z18"/>
    <mergeCell ref="AA18:AB18"/>
    <mergeCell ref="AC18:AD18"/>
    <mergeCell ref="A18:B18"/>
    <mergeCell ref="C18:D18"/>
    <mergeCell ref="G18:H18"/>
    <mergeCell ref="I18:J18"/>
    <mergeCell ref="K18:L18"/>
    <mergeCell ref="M18:N18"/>
    <mergeCell ref="O18:P18"/>
    <mergeCell ref="Q19:R19"/>
    <mergeCell ref="S19:T19"/>
    <mergeCell ref="U19:V19"/>
    <mergeCell ref="W19:X19"/>
    <mergeCell ref="Y19:Z19"/>
    <mergeCell ref="AA19:AB19"/>
    <mergeCell ref="AC19:AD19"/>
    <mergeCell ref="A19:B19"/>
    <mergeCell ref="C19:D19"/>
    <mergeCell ref="G19:H19"/>
    <mergeCell ref="I19:J19"/>
    <mergeCell ref="K19:L19"/>
    <mergeCell ref="M19:N19"/>
    <mergeCell ref="O19:P19"/>
    <mergeCell ref="Q20:R20"/>
    <mergeCell ref="S20:T20"/>
    <mergeCell ref="U20:V20"/>
    <mergeCell ref="W20:X20"/>
    <mergeCell ref="Y20:Z20"/>
    <mergeCell ref="AA20:AB20"/>
    <mergeCell ref="AC20:AD20"/>
    <mergeCell ref="A20:B20"/>
    <mergeCell ref="C20:D20"/>
    <mergeCell ref="G20:H20"/>
    <mergeCell ref="I20:J20"/>
    <mergeCell ref="K20:L20"/>
    <mergeCell ref="M20:N20"/>
    <mergeCell ref="O20:P20"/>
    <mergeCell ref="Q21:R21"/>
    <mergeCell ref="S21:T21"/>
    <mergeCell ref="U21:V21"/>
    <mergeCell ref="W21:X21"/>
    <mergeCell ref="Y21:Z21"/>
    <mergeCell ref="AA21:AB21"/>
    <mergeCell ref="AC21:AD21"/>
    <mergeCell ref="A21:B21"/>
    <mergeCell ref="C21:D21"/>
    <mergeCell ref="G21:H21"/>
    <mergeCell ref="I21:J21"/>
    <mergeCell ref="K21:L21"/>
    <mergeCell ref="M21:N21"/>
    <mergeCell ref="O21:P21"/>
    <mergeCell ref="Q22:R22"/>
    <mergeCell ref="S22:T22"/>
    <mergeCell ref="U22:V22"/>
    <mergeCell ref="W22:X22"/>
    <mergeCell ref="Y22:Z22"/>
    <mergeCell ref="AA22:AB22"/>
    <mergeCell ref="AC22:AD22"/>
    <mergeCell ref="A22:B22"/>
    <mergeCell ref="C22:D22"/>
    <mergeCell ref="G22:H22"/>
    <mergeCell ref="I22:J22"/>
    <mergeCell ref="K22:L22"/>
    <mergeCell ref="M22:N22"/>
    <mergeCell ref="O22:P22"/>
    <mergeCell ref="Q23:R23"/>
    <mergeCell ref="S23:T23"/>
    <mergeCell ref="U23:V23"/>
    <mergeCell ref="W23:X23"/>
    <mergeCell ref="Y23:Z23"/>
    <mergeCell ref="AA23:AB23"/>
    <mergeCell ref="AC23:AD23"/>
    <mergeCell ref="A23:B23"/>
    <mergeCell ref="C23:D23"/>
    <mergeCell ref="G23:H23"/>
    <mergeCell ref="I23:J23"/>
    <mergeCell ref="K23:L23"/>
    <mergeCell ref="M23:N23"/>
    <mergeCell ref="O23:P23"/>
  </mergeCells>
  <dataValidations>
    <dataValidation type="list" allowBlank="1" showErrorMessage="1" sqref="U9:U30">
      <formula1>"Low,Medium,High"</formula1>
    </dataValidation>
    <dataValidation type="list" allowBlank="1" showErrorMessage="1" sqref="C4">
      <formula1>'System Testing - Execution Data'!$A$9:$B$14</formula1>
    </dataValidation>
    <dataValidation type="list" allowBlank="1" showErrorMessage="1" sqref="Q9:Q30">
      <formula1>"Passed,Failed,Blocked,Not Executed"</formula1>
    </dataValidation>
  </dataValidations>
  <hyperlinks>
    <hyperlink r:id="rId1" ref="Y9"/>
    <hyperlink r:id="rId2" ref="Y10"/>
    <hyperlink r:id="rId3" ref="Y11"/>
    <hyperlink r:id="rId4" ref="Y12"/>
    <hyperlink r:id="rId5" ref="Y13"/>
    <hyperlink r:id="rId6" ref="Y14"/>
    <hyperlink r:id="rId7" ref="Y15"/>
    <hyperlink r:id="rId8" ref="Y16"/>
    <hyperlink r:id="rId9" ref="Y17"/>
    <hyperlink r:id="rId10" ref="Y18"/>
    <hyperlink r:id="rId11" ref="Y19"/>
    <hyperlink r:id="rId12" ref="Y20"/>
    <hyperlink r:id="rId13" ref="Y21"/>
    <hyperlink r:id="rId14" ref="Y22"/>
    <hyperlink r:id="rId15" ref="Y23"/>
    <hyperlink r:id="rId16" ref="Y24"/>
    <hyperlink r:id="rId17" ref="Y25"/>
    <hyperlink r:id="rId18" ref="Y26"/>
    <hyperlink r:id="rId19" ref="Y27"/>
    <hyperlink r:id="rId20" ref="Y28"/>
    <hyperlink r:id="rId21" ref="Y29"/>
    <hyperlink r:id="rId22" ref="Y30"/>
  </hyperlinks>
  <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5"/>
    <col customWidth="1" min="6" max="6" width="15.88"/>
    <col customWidth="1" min="8" max="8" width="15.88"/>
    <col customWidth="1" min="10" max="10" width="16.38"/>
    <col customWidth="1" min="22" max="22" width="15.13"/>
    <col customWidth="1" min="24" max="24" width="15.13"/>
    <col customWidth="1" min="26" max="26" width="15.13"/>
  </cols>
  <sheetData>
    <row r="1">
      <c r="A1" s="1" t="s">
        <v>1</v>
      </c>
    </row>
    <row r="4">
      <c r="A4" s="3" t="s">
        <v>2</v>
      </c>
      <c r="C4" s="4"/>
    </row>
    <row r="7">
      <c r="A7" s="5" t="s">
        <v>3</v>
      </c>
      <c r="B7" s="6"/>
      <c r="C7" s="5" t="s">
        <v>6</v>
      </c>
      <c r="D7" s="6"/>
      <c r="E7" s="8" t="s">
        <v>8</v>
      </c>
      <c r="F7" s="8" t="s">
        <v>9</v>
      </c>
      <c r="G7" s="9" t="s">
        <v>11</v>
      </c>
      <c r="H7" s="6"/>
      <c r="I7" s="5" t="s">
        <v>10</v>
      </c>
      <c r="J7" s="6"/>
      <c r="K7" s="5" t="s">
        <v>12</v>
      </c>
      <c r="L7" s="6"/>
      <c r="M7" s="5" t="s">
        <v>15</v>
      </c>
      <c r="N7" s="6"/>
      <c r="O7" s="5" t="s">
        <v>17</v>
      </c>
      <c r="P7" s="6"/>
      <c r="Q7" s="5" t="s">
        <v>19</v>
      </c>
      <c r="R7" s="6"/>
      <c r="S7" s="5" t="s">
        <v>21</v>
      </c>
      <c r="T7" s="6"/>
      <c r="U7" s="5" t="s">
        <v>22</v>
      </c>
      <c r="V7" s="6"/>
      <c r="W7" s="5" t="s">
        <v>18</v>
      </c>
      <c r="X7" s="6"/>
      <c r="Y7" s="5" t="s">
        <v>23</v>
      </c>
      <c r="Z7" s="6"/>
      <c r="AA7" s="12" t="s">
        <v>28</v>
      </c>
      <c r="AB7" s="6"/>
      <c r="AC7" s="12" t="s">
        <v>25</v>
      </c>
      <c r="AD7" s="6"/>
    </row>
    <row r="8">
      <c r="A8" s="11"/>
      <c r="B8" s="13"/>
      <c r="C8" s="11"/>
      <c r="D8" s="13"/>
      <c r="E8" s="14"/>
      <c r="F8" s="14"/>
      <c r="G8" s="11"/>
      <c r="H8" s="13"/>
      <c r="I8" s="11"/>
      <c r="J8" s="13"/>
      <c r="K8" s="11"/>
      <c r="L8" s="13"/>
      <c r="M8" s="11"/>
      <c r="N8" s="13"/>
      <c r="O8" s="11"/>
      <c r="P8" s="13"/>
      <c r="Q8" s="11"/>
      <c r="R8" s="13"/>
      <c r="S8" s="11"/>
      <c r="T8" s="13"/>
      <c r="U8" s="11"/>
      <c r="V8" s="13"/>
      <c r="W8" s="11"/>
      <c r="X8" s="13"/>
      <c r="Y8" s="11"/>
      <c r="Z8" s="13"/>
      <c r="AA8" s="11"/>
      <c r="AB8" s="13"/>
      <c r="AC8" s="11"/>
      <c r="AD8" s="13"/>
    </row>
    <row r="9">
      <c r="A9" s="17" t="s">
        <v>31</v>
      </c>
      <c r="B9" s="16"/>
      <c r="C9" s="17" t="s">
        <v>34</v>
      </c>
      <c r="D9" s="16"/>
      <c r="E9" s="18" t="s">
        <v>36</v>
      </c>
      <c r="F9" s="20">
        <v>46224.0</v>
      </c>
      <c r="G9" s="15" t="s">
        <v>37</v>
      </c>
      <c r="H9" s="16"/>
      <c r="I9" s="15" t="s">
        <v>38</v>
      </c>
      <c r="J9" s="16"/>
      <c r="K9" s="15" t="s">
        <v>39</v>
      </c>
      <c r="L9" s="16"/>
      <c r="M9" s="22" t="s">
        <v>41</v>
      </c>
      <c r="N9" s="16"/>
      <c r="O9" s="15" t="s">
        <v>42</v>
      </c>
      <c r="P9" s="16"/>
      <c r="Q9" s="23" t="s">
        <v>46</v>
      </c>
      <c r="R9" s="16"/>
      <c r="S9" s="15" t="s">
        <v>48</v>
      </c>
      <c r="T9" s="16"/>
      <c r="U9" s="23" t="s">
        <v>49</v>
      </c>
      <c r="V9" s="16"/>
      <c r="W9" s="22" t="s">
        <v>50</v>
      </c>
      <c r="X9" s="16"/>
      <c r="Y9" s="25" t="s">
        <v>51</v>
      </c>
      <c r="Z9" s="16"/>
      <c r="AA9" s="23" t="s">
        <v>45</v>
      </c>
      <c r="AB9" s="16"/>
      <c r="AC9" s="23"/>
      <c r="AD9" s="16"/>
    </row>
    <row r="10">
      <c r="A10" s="17" t="s">
        <v>61</v>
      </c>
      <c r="B10" s="16"/>
      <c r="C10" s="17" t="s">
        <v>63</v>
      </c>
      <c r="D10" s="16"/>
      <c r="E10" s="18" t="s">
        <v>66</v>
      </c>
      <c r="F10" s="20">
        <v>46224.0</v>
      </c>
      <c r="G10" s="15" t="s">
        <v>67</v>
      </c>
      <c r="H10" s="16"/>
      <c r="I10" s="15" t="s">
        <v>69</v>
      </c>
      <c r="J10" s="16"/>
      <c r="K10" s="15" t="s">
        <v>71</v>
      </c>
      <c r="L10" s="16"/>
      <c r="M10" s="22" t="s">
        <v>74</v>
      </c>
      <c r="N10" s="16"/>
      <c r="O10" s="15" t="s">
        <v>76</v>
      </c>
      <c r="P10" s="16"/>
      <c r="Q10" s="23" t="s">
        <v>46</v>
      </c>
      <c r="R10" s="16"/>
      <c r="S10" s="15" t="s">
        <v>79</v>
      </c>
      <c r="T10" s="16"/>
      <c r="U10" s="23" t="s">
        <v>49</v>
      </c>
      <c r="V10" s="16"/>
      <c r="W10" s="22" t="s">
        <v>80</v>
      </c>
      <c r="X10" s="16"/>
      <c r="Y10" s="25" t="s">
        <v>82</v>
      </c>
      <c r="Z10" s="16"/>
      <c r="AA10" s="23" t="s">
        <v>45</v>
      </c>
      <c r="AB10" s="16"/>
      <c r="AC10" s="23"/>
      <c r="AD10" s="16"/>
    </row>
    <row r="11">
      <c r="A11" s="17" t="s">
        <v>84</v>
      </c>
      <c r="B11" s="16"/>
      <c r="C11" s="17" t="s">
        <v>86</v>
      </c>
      <c r="D11" s="16"/>
      <c r="E11" s="18" t="s">
        <v>89</v>
      </c>
      <c r="F11" s="20">
        <v>46224.0</v>
      </c>
      <c r="G11" s="15" t="s">
        <v>90</v>
      </c>
      <c r="H11" s="16"/>
      <c r="I11" s="15" t="s">
        <v>94</v>
      </c>
      <c r="J11" s="16"/>
      <c r="K11" s="15" t="s">
        <v>97</v>
      </c>
      <c r="L11" s="16"/>
      <c r="M11" s="22" t="s">
        <v>98</v>
      </c>
      <c r="N11" s="16"/>
      <c r="O11" s="15" t="s">
        <v>100</v>
      </c>
      <c r="P11" s="16"/>
      <c r="Q11" s="23" t="s">
        <v>46</v>
      </c>
      <c r="R11" s="16"/>
      <c r="S11" s="15" t="s">
        <v>103</v>
      </c>
      <c r="T11" s="16"/>
      <c r="U11" s="23" t="s">
        <v>49</v>
      </c>
      <c r="V11" s="16"/>
      <c r="W11" s="22" t="s">
        <v>105</v>
      </c>
      <c r="X11" s="16"/>
      <c r="Y11" s="25" t="s">
        <v>108</v>
      </c>
      <c r="Z11" s="16"/>
      <c r="AA11" s="23" t="s">
        <v>45</v>
      </c>
      <c r="AB11" s="16"/>
      <c r="AC11" s="23"/>
      <c r="AD11" s="16"/>
    </row>
    <row r="12">
      <c r="A12" s="17" t="s">
        <v>116</v>
      </c>
      <c r="B12" s="16"/>
      <c r="C12" s="17" t="s">
        <v>118</v>
      </c>
      <c r="D12" s="16"/>
      <c r="E12" s="18" t="s">
        <v>119</v>
      </c>
      <c r="F12" s="20">
        <v>46224.0</v>
      </c>
      <c r="G12" s="15" t="s">
        <v>120</v>
      </c>
      <c r="H12" s="16"/>
      <c r="I12" s="15" t="s">
        <v>122</v>
      </c>
      <c r="J12" s="16"/>
      <c r="K12" s="15" t="s">
        <v>97</v>
      </c>
      <c r="L12" s="16"/>
      <c r="M12" s="22" t="s">
        <v>125</v>
      </c>
      <c r="N12" s="16"/>
      <c r="O12" s="15" t="s">
        <v>128</v>
      </c>
      <c r="P12" s="16"/>
      <c r="Q12" s="23" t="s">
        <v>46</v>
      </c>
      <c r="R12" s="16"/>
      <c r="S12" s="15" t="s">
        <v>132</v>
      </c>
      <c r="T12" s="16"/>
      <c r="U12" s="23" t="s">
        <v>49</v>
      </c>
      <c r="V12" s="16"/>
      <c r="W12" s="22" t="s">
        <v>135</v>
      </c>
      <c r="X12" s="16"/>
      <c r="Y12" s="25" t="s">
        <v>137</v>
      </c>
      <c r="Z12" s="16"/>
      <c r="AA12" s="23" t="s">
        <v>45</v>
      </c>
      <c r="AB12" s="16"/>
      <c r="AC12" s="23"/>
      <c r="AD12" s="16"/>
    </row>
    <row r="13">
      <c r="A13" s="17" t="s">
        <v>109</v>
      </c>
      <c r="B13" s="16"/>
      <c r="C13" s="17" t="s">
        <v>144</v>
      </c>
      <c r="D13" s="16"/>
      <c r="E13" s="18" t="s">
        <v>145</v>
      </c>
      <c r="F13" s="20">
        <v>46224.0</v>
      </c>
      <c r="G13" s="15" t="s">
        <v>147</v>
      </c>
      <c r="H13" s="16"/>
      <c r="I13" s="15" t="s">
        <v>148</v>
      </c>
      <c r="J13" s="16"/>
      <c r="K13" s="15" t="s">
        <v>150</v>
      </c>
      <c r="L13" s="16"/>
      <c r="M13" s="22" t="s">
        <v>151</v>
      </c>
      <c r="N13" s="16"/>
      <c r="O13" s="15" t="s">
        <v>154</v>
      </c>
      <c r="P13" s="16"/>
      <c r="Q13" s="23" t="s">
        <v>46</v>
      </c>
      <c r="R13" s="16"/>
      <c r="S13" s="15" t="s">
        <v>158</v>
      </c>
      <c r="T13" s="16"/>
      <c r="U13" s="23" t="s">
        <v>49</v>
      </c>
      <c r="V13" s="16"/>
      <c r="W13" s="22" t="s">
        <v>160</v>
      </c>
      <c r="X13" s="16"/>
      <c r="Y13" s="25" t="s">
        <v>161</v>
      </c>
      <c r="Z13" s="16"/>
      <c r="AA13" s="23" t="s">
        <v>45</v>
      </c>
      <c r="AB13" s="16"/>
      <c r="AC13" s="23"/>
      <c r="AD13" s="16"/>
    </row>
    <row r="14">
      <c r="A14" s="17" t="s">
        <v>130</v>
      </c>
      <c r="B14" s="16"/>
      <c r="C14" s="17" t="s">
        <v>168</v>
      </c>
      <c r="D14" s="16"/>
      <c r="E14" s="18" t="s">
        <v>170</v>
      </c>
      <c r="F14" s="20">
        <v>46224.0</v>
      </c>
      <c r="G14" s="15" t="s">
        <v>171</v>
      </c>
      <c r="H14" s="16"/>
      <c r="I14" s="15" t="s">
        <v>174</v>
      </c>
      <c r="J14" s="16"/>
      <c r="K14" s="15" t="s">
        <v>71</v>
      </c>
      <c r="L14" s="16"/>
      <c r="M14" s="22" t="s">
        <v>175</v>
      </c>
      <c r="N14" s="16"/>
      <c r="O14" s="15" t="s">
        <v>176</v>
      </c>
      <c r="P14" s="16"/>
      <c r="Q14" s="23" t="s">
        <v>46</v>
      </c>
      <c r="R14" s="16"/>
      <c r="S14" s="15" t="s">
        <v>177</v>
      </c>
      <c r="T14" s="16"/>
      <c r="U14" s="23" t="s">
        <v>49</v>
      </c>
      <c r="V14" s="16"/>
      <c r="W14" s="22" t="s">
        <v>178</v>
      </c>
      <c r="X14" s="16"/>
      <c r="Y14" s="25" t="s">
        <v>180</v>
      </c>
      <c r="Z14" s="16"/>
      <c r="AA14" s="23" t="s">
        <v>45</v>
      </c>
      <c r="AB14" s="16"/>
      <c r="AC14" s="23"/>
      <c r="AD14" s="16"/>
    </row>
    <row r="15">
      <c r="A15" s="17" t="s">
        <v>143</v>
      </c>
      <c r="B15" s="16"/>
      <c r="C15" s="17" t="s">
        <v>190</v>
      </c>
      <c r="D15" s="16"/>
      <c r="E15" s="18" t="s">
        <v>191</v>
      </c>
      <c r="F15" s="20">
        <v>46224.0</v>
      </c>
      <c r="G15" s="15" t="s">
        <v>192</v>
      </c>
      <c r="H15" s="16"/>
      <c r="I15" s="15" t="s">
        <v>194</v>
      </c>
      <c r="J15" s="16"/>
      <c r="K15" s="15" t="s">
        <v>97</v>
      </c>
      <c r="L15" s="16"/>
      <c r="M15" s="22" t="s">
        <v>195</v>
      </c>
      <c r="N15" s="16"/>
      <c r="O15" s="15" t="s">
        <v>196</v>
      </c>
      <c r="P15" s="16"/>
      <c r="Q15" s="23" t="s">
        <v>46</v>
      </c>
      <c r="R15" s="16"/>
      <c r="S15" s="15" t="s">
        <v>197</v>
      </c>
      <c r="T15" s="16"/>
      <c r="U15" s="23" t="s">
        <v>49</v>
      </c>
      <c r="V15" s="16"/>
      <c r="W15" s="22" t="s">
        <v>80</v>
      </c>
      <c r="X15" s="16"/>
      <c r="Y15" s="25" t="s">
        <v>199</v>
      </c>
      <c r="Z15" s="16"/>
      <c r="AA15" s="23" t="s">
        <v>45</v>
      </c>
      <c r="AB15" s="16"/>
      <c r="AC15" s="23"/>
      <c r="AD15" s="16"/>
    </row>
    <row r="16">
      <c r="A16" s="17" t="s">
        <v>205</v>
      </c>
      <c r="B16" s="16"/>
      <c r="C16" s="17" t="s">
        <v>207</v>
      </c>
      <c r="D16" s="16"/>
      <c r="E16" s="18" t="s">
        <v>208</v>
      </c>
      <c r="F16" s="20">
        <v>46224.0</v>
      </c>
      <c r="G16" s="15" t="s">
        <v>209</v>
      </c>
      <c r="H16" s="16"/>
      <c r="I16" s="15" t="s">
        <v>210</v>
      </c>
      <c r="J16" s="16"/>
      <c r="K16" s="15" t="s">
        <v>211</v>
      </c>
      <c r="L16" s="16"/>
      <c r="M16" s="22" t="s">
        <v>213</v>
      </c>
      <c r="N16" s="16"/>
      <c r="O16" s="15" t="s">
        <v>214</v>
      </c>
      <c r="P16" s="16"/>
      <c r="Q16" s="23" t="s">
        <v>46</v>
      </c>
      <c r="R16" s="16"/>
      <c r="S16" s="15" t="s">
        <v>216</v>
      </c>
      <c r="T16" s="16"/>
      <c r="U16" s="23" t="s">
        <v>188</v>
      </c>
      <c r="V16" s="16"/>
      <c r="W16" s="22" t="s">
        <v>80</v>
      </c>
      <c r="X16" s="16"/>
      <c r="Y16" s="25" t="s">
        <v>217</v>
      </c>
      <c r="Z16" s="16"/>
      <c r="AA16" s="23" t="s">
        <v>45</v>
      </c>
      <c r="AB16" s="16"/>
      <c r="AC16" s="23"/>
      <c r="AD16" s="16"/>
    </row>
    <row r="17">
      <c r="A17" s="17" t="s">
        <v>218</v>
      </c>
      <c r="B17" s="16"/>
      <c r="C17" s="17" t="s">
        <v>220</v>
      </c>
      <c r="D17" s="16"/>
      <c r="E17" s="18" t="s">
        <v>222</v>
      </c>
      <c r="F17" s="20">
        <v>46224.0</v>
      </c>
      <c r="G17" s="15" t="s">
        <v>223</v>
      </c>
      <c r="H17" s="16"/>
      <c r="I17" s="15" t="s">
        <v>224</v>
      </c>
      <c r="J17" s="16"/>
      <c r="K17" s="15" t="s">
        <v>226</v>
      </c>
      <c r="L17" s="16"/>
      <c r="M17" s="22" t="s">
        <v>227</v>
      </c>
      <c r="N17" s="16"/>
      <c r="O17" s="15" t="s">
        <v>230</v>
      </c>
      <c r="P17" s="16"/>
      <c r="Q17" s="23" t="s">
        <v>46</v>
      </c>
      <c r="R17" s="16"/>
      <c r="S17" s="15" t="s">
        <v>177</v>
      </c>
      <c r="T17" s="16"/>
      <c r="U17" s="23" t="s">
        <v>188</v>
      </c>
      <c r="V17" s="16"/>
      <c r="W17" s="22" t="s">
        <v>233</v>
      </c>
      <c r="X17" s="16"/>
      <c r="Y17" s="25" t="s">
        <v>234</v>
      </c>
      <c r="Z17" s="16"/>
      <c r="AA17" s="23" t="s">
        <v>45</v>
      </c>
      <c r="AB17" s="16"/>
      <c r="AC17" s="23"/>
      <c r="AD17" s="16"/>
    </row>
    <row r="18">
      <c r="A18" s="17" t="s">
        <v>237</v>
      </c>
      <c r="B18" s="16"/>
      <c r="C18" s="17" t="s">
        <v>238</v>
      </c>
      <c r="D18" s="16"/>
      <c r="E18" s="18" t="s">
        <v>239</v>
      </c>
      <c r="F18" s="20">
        <v>46224.0</v>
      </c>
      <c r="G18" s="15" t="s">
        <v>240</v>
      </c>
      <c r="H18" s="16"/>
      <c r="I18" s="15" t="s">
        <v>241</v>
      </c>
      <c r="J18" s="16"/>
      <c r="K18" s="15" t="s">
        <v>242</v>
      </c>
      <c r="L18" s="16"/>
      <c r="M18" s="22" t="s">
        <v>244</v>
      </c>
      <c r="N18" s="16"/>
      <c r="O18" s="15" t="s">
        <v>246</v>
      </c>
      <c r="P18" s="16"/>
      <c r="Q18" s="23" t="s">
        <v>46</v>
      </c>
      <c r="R18" s="16"/>
      <c r="S18" s="15" t="s">
        <v>250</v>
      </c>
      <c r="T18" s="16"/>
      <c r="U18" s="23" t="s">
        <v>253</v>
      </c>
      <c r="V18" s="16"/>
      <c r="W18" s="22" t="s">
        <v>254</v>
      </c>
      <c r="X18" s="16"/>
      <c r="Y18" s="25" t="s">
        <v>256</v>
      </c>
      <c r="Z18" s="16"/>
      <c r="AA18" s="23" t="s">
        <v>45</v>
      </c>
      <c r="AB18" s="16"/>
      <c r="AC18" s="23"/>
      <c r="AD18" s="16"/>
    </row>
    <row r="19">
      <c r="A19" s="17" t="s">
        <v>264</v>
      </c>
      <c r="B19" s="16"/>
      <c r="C19" s="17" t="s">
        <v>265</v>
      </c>
      <c r="D19" s="16"/>
      <c r="E19" s="18" t="s">
        <v>266</v>
      </c>
      <c r="F19" s="20">
        <v>46224.0</v>
      </c>
      <c r="G19" s="15" t="s">
        <v>267</v>
      </c>
      <c r="H19" s="16"/>
      <c r="I19" s="15" t="s">
        <v>268</v>
      </c>
      <c r="J19" s="16"/>
      <c r="K19" s="15" t="s">
        <v>269</v>
      </c>
      <c r="L19" s="16"/>
      <c r="M19" s="22" t="s">
        <v>271</v>
      </c>
      <c r="N19" s="16"/>
      <c r="O19" s="15" t="s">
        <v>272</v>
      </c>
      <c r="P19" s="16"/>
      <c r="Q19" s="23" t="s">
        <v>46</v>
      </c>
      <c r="R19" s="16"/>
      <c r="S19" s="15" t="s">
        <v>274</v>
      </c>
      <c r="T19" s="16"/>
      <c r="U19" s="23" t="s">
        <v>188</v>
      </c>
      <c r="V19" s="16"/>
      <c r="W19" s="22" t="s">
        <v>275</v>
      </c>
      <c r="X19" s="16"/>
      <c r="Y19" s="25" t="s">
        <v>277</v>
      </c>
      <c r="Z19" s="16"/>
      <c r="AA19" s="23" t="s">
        <v>45</v>
      </c>
      <c r="AB19" s="16"/>
      <c r="AC19" s="23"/>
      <c r="AD19" s="16"/>
    </row>
    <row r="20">
      <c r="A20" s="17" t="s">
        <v>116</v>
      </c>
      <c r="B20" s="16"/>
      <c r="C20" s="17" t="s">
        <v>288</v>
      </c>
      <c r="D20" s="16"/>
      <c r="E20" s="18" t="s">
        <v>290</v>
      </c>
      <c r="F20" s="20">
        <v>46224.0</v>
      </c>
      <c r="G20" s="15" t="s">
        <v>291</v>
      </c>
      <c r="H20" s="16"/>
      <c r="I20" s="15" t="s">
        <v>292</v>
      </c>
      <c r="J20" s="16"/>
      <c r="K20" s="15" t="s">
        <v>293</v>
      </c>
      <c r="L20" s="16"/>
      <c r="M20" s="22" t="s">
        <v>295</v>
      </c>
      <c r="N20" s="16"/>
      <c r="O20" s="15" t="s">
        <v>296</v>
      </c>
      <c r="P20" s="16"/>
      <c r="Q20" s="23"/>
      <c r="R20" s="16"/>
      <c r="S20" s="15" t="s">
        <v>297</v>
      </c>
      <c r="T20" s="16"/>
      <c r="U20" s="23" t="s">
        <v>49</v>
      </c>
      <c r="V20" s="16"/>
      <c r="W20" s="22" t="s">
        <v>298</v>
      </c>
      <c r="X20" s="16"/>
      <c r="Y20" s="15"/>
      <c r="Z20" s="16"/>
      <c r="AA20" s="23" t="s">
        <v>45</v>
      </c>
      <c r="AB20" s="16"/>
      <c r="AC20" s="23"/>
      <c r="AD20" s="16"/>
    </row>
    <row r="21">
      <c r="A21" s="17" t="s">
        <v>84</v>
      </c>
      <c r="B21" s="16"/>
      <c r="C21" s="17" t="s">
        <v>303</v>
      </c>
      <c r="D21" s="16"/>
      <c r="E21" s="18" t="s">
        <v>306</v>
      </c>
      <c r="F21" s="20">
        <v>46224.0</v>
      </c>
      <c r="G21" s="15" t="s">
        <v>307</v>
      </c>
      <c r="H21" s="16"/>
      <c r="I21" s="15" t="s">
        <v>308</v>
      </c>
      <c r="J21" s="16"/>
      <c r="K21" s="15" t="s">
        <v>311</v>
      </c>
      <c r="L21" s="16"/>
      <c r="M21" s="22" t="s">
        <v>313</v>
      </c>
      <c r="N21" s="16"/>
      <c r="O21" s="15" t="s">
        <v>315</v>
      </c>
      <c r="P21" s="16"/>
      <c r="Q21" s="23" t="s">
        <v>46</v>
      </c>
      <c r="R21" s="16"/>
      <c r="S21" s="15" t="s">
        <v>317</v>
      </c>
      <c r="T21" s="16"/>
      <c r="U21" s="23" t="s">
        <v>49</v>
      </c>
      <c r="V21" s="16"/>
      <c r="W21" s="22" t="s">
        <v>319</v>
      </c>
      <c r="X21" s="16"/>
      <c r="Y21" s="25" t="s">
        <v>321</v>
      </c>
      <c r="Z21" s="16"/>
      <c r="AA21" s="23" t="s">
        <v>45</v>
      </c>
      <c r="AB21" s="16"/>
      <c r="AC21" s="23"/>
      <c r="AD21" s="16"/>
    </row>
    <row r="22">
      <c r="A22" s="17" t="s">
        <v>323</v>
      </c>
      <c r="B22" s="16"/>
      <c r="C22" s="17" t="s">
        <v>325</v>
      </c>
      <c r="D22" s="16"/>
      <c r="E22" s="18" t="s">
        <v>327</v>
      </c>
      <c r="F22" s="20">
        <v>46224.0</v>
      </c>
      <c r="G22" s="15" t="s">
        <v>329</v>
      </c>
      <c r="H22" s="16"/>
      <c r="I22" s="15" t="s">
        <v>330</v>
      </c>
      <c r="J22" s="16"/>
      <c r="K22" s="15" t="s">
        <v>331</v>
      </c>
      <c r="L22" s="16"/>
      <c r="M22" s="22" t="s">
        <v>332</v>
      </c>
      <c r="N22" s="16"/>
      <c r="O22" s="15" t="s">
        <v>334</v>
      </c>
      <c r="P22" s="16"/>
      <c r="Q22" s="23" t="s">
        <v>46</v>
      </c>
      <c r="R22" s="16"/>
      <c r="S22" s="15" t="s">
        <v>336</v>
      </c>
      <c r="T22" s="16"/>
      <c r="U22" s="23" t="s">
        <v>188</v>
      </c>
      <c r="V22" s="16"/>
      <c r="W22" s="22" t="s">
        <v>338</v>
      </c>
      <c r="X22" s="16"/>
      <c r="Y22" s="25" t="s">
        <v>339</v>
      </c>
      <c r="Z22" s="16"/>
      <c r="AA22" s="23" t="s">
        <v>45</v>
      </c>
      <c r="AB22" s="16"/>
      <c r="AC22" s="23"/>
      <c r="AD22" s="16"/>
    </row>
    <row r="23">
      <c r="A23" s="17" t="s">
        <v>109</v>
      </c>
      <c r="B23" s="16"/>
      <c r="C23" s="17" t="s">
        <v>340</v>
      </c>
      <c r="D23" s="16"/>
      <c r="E23" s="18" t="s">
        <v>341</v>
      </c>
      <c r="F23" s="20">
        <v>46224.0</v>
      </c>
      <c r="G23" s="15" t="s">
        <v>342</v>
      </c>
      <c r="H23" s="16"/>
      <c r="I23" s="15" t="s">
        <v>345</v>
      </c>
      <c r="J23" s="16"/>
      <c r="K23" s="15" t="s">
        <v>347</v>
      </c>
      <c r="L23" s="16"/>
      <c r="M23" s="22" t="s">
        <v>348</v>
      </c>
      <c r="N23" s="16"/>
      <c r="O23" s="15" t="s">
        <v>349</v>
      </c>
      <c r="P23" s="16"/>
      <c r="Q23" s="23" t="s">
        <v>46</v>
      </c>
      <c r="R23" s="16"/>
      <c r="S23" s="15" t="s">
        <v>353</v>
      </c>
      <c r="T23" s="16"/>
      <c r="U23" s="23" t="s">
        <v>188</v>
      </c>
      <c r="V23" s="16"/>
      <c r="W23" s="22" t="s">
        <v>160</v>
      </c>
      <c r="X23" s="16"/>
      <c r="Y23" s="69" t="s">
        <v>355</v>
      </c>
      <c r="Z23" s="16"/>
      <c r="AA23" s="23" t="s">
        <v>45</v>
      </c>
      <c r="AB23" s="16"/>
      <c r="AC23" s="23"/>
      <c r="AD23" s="16"/>
    </row>
    <row r="24">
      <c r="A24" s="17" t="s">
        <v>130</v>
      </c>
      <c r="B24" s="16"/>
      <c r="C24" s="17" t="s">
        <v>358</v>
      </c>
      <c r="D24" s="16"/>
      <c r="E24" s="18" t="s">
        <v>359</v>
      </c>
      <c r="F24" s="20">
        <v>46224.0</v>
      </c>
      <c r="G24" s="15" t="s">
        <v>360</v>
      </c>
      <c r="H24" s="16"/>
      <c r="I24" s="15" t="s">
        <v>362</v>
      </c>
      <c r="J24" s="16"/>
      <c r="K24" s="15" t="s">
        <v>363</v>
      </c>
      <c r="L24" s="16"/>
      <c r="M24" s="22" t="s">
        <v>365</v>
      </c>
      <c r="N24" s="16"/>
      <c r="O24" s="15" t="s">
        <v>367</v>
      </c>
      <c r="P24" s="16"/>
      <c r="Q24" s="23" t="s">
        <v>46</v>
      </c>
      <c r="R24" s="16"/>
      <c r="S24" s="15" t="s">
        <v>177</v>
      </c>
      <c r="T24" s="16"/>
      <c r="U24" s="23" t="s">
        <v>188</v>
      </c>
      <c r="V24" s="16"/>
      <c r="W24" s="22" t="s">
        <v>178</v>
      </c>
      <c r="X24" s="16"/>
      <c r="Y24" s="25" t="s">
        <v>371</v>
      </c>
      <c r="Z24" s="16"/>
      <c r="AA24" s="23" t="s">
        <v>45</v>
      </c>
      <c r="AB24" s="16"/>
      <c r="AC24" s="23"/>
      <c r="AD24" s="16"/>
    </row>
    <row r="25">
      <c r="A25" s="17" t="s">
        <v>61</v>
      </c>
      <c r="B25" s="16"/>
      <c r="C25" s="17" t="s">
        <v>179</v>
      </c>
      <c r="D25" s="16"/>
      <c r="E25" s="18" t="s">
        <v>376</v>
      </c>
      <c r="F25" s="20">
        <v>46224.0</v>
      </c>
      <c r="G25" s="15" t="s">
        <v>377</v>
      </c>
      <c r="H25" s="16"/>
      <c r="I25" s="15" t="s">
        <v>378</v>
      </c>
      <c r="J25" s="16"/>
      <c r="K25" s="15" t="s">
        <v>132</v>
      </c>
      <c r="L25" s="16"/>
      <c r="M25" s="22" t="s">
        <v>379</v>
      </c>
      <c r="N25" s="16"/>
      <c r="O25" s="15" t="s">
        <v>380</v>
      </c>
      <c r="P25" s="16"/>
      <c r="Q25" s="23" t="s">
        <v>46</v>
      </c>
      <c r="R25" s="16"/>
      <c r="S25" s="15" t="s">
        <v>381</v>
      </c>
      <c r="T25" s="16"/>
      <c r="U25" s="23" t="s">
        <v>253</v>
      </c>
      <c r="V25" s="16"/>
      <c r="W25" s="22" t="s">
        <v>109</v>
      </c>
      <c r="X25" s="16"/>
      <c r="Y25" s="25" t="s">
        <v>392</v>
      </c>
      <c r="Z25" s="16"/>
      <c r="AA25" s="23" t="s">
        <v>45</v>
      </c>
      <c r="AB25" s="16"/>
      <c r="AC25" s="23"/>
      <c r="AD25" s="16"/>
    </row>
    <row r="26">
      <c r="A26" s="17" t="s">
        <v>400</v>
      </c>
      <c r="B26" s="16"/>
      <c r="C26" s="17" t="s">
        <v>402</v>
      </c>
      <c r="D26" s="16"/>
      <c r="E26" s="18" t="s">
        <v>404</v>
      </c>
      <c r="F26" s="20">
        <v>46224.0</v>
      </c>
      <c r="G26" s="15" t="s">
        <v>405</v>
      </c>
      <c r="H26" s="16"/>
      <c r="I26" s="15" t="s">
        <v>406</v>
      </c>
      <c r="J26" s="16"/>
      <c r="K26" s="15" t="s">
        <v>407</v>
      </c>
      <c r="L26" s="16"/>
      <c r="M26" s="22" t="s">
        <v>408</v>
      </c>
      <c r="N26" s="16"/>
      <c r="O26" s="15" t="s">
        <v>409</v>
      </c>
      <c r="P26" s="16"/>
      <c r="Q26" s="23" t="s">
        <v>46</v>
      </c>
      <c r="R26" s="16"/>
      <c r="S26" s="15" t="s">
        <v>412</v>
      </c>
      <c r="T26" s="16"/>
      <c r="U26" s="23" t="s">
        <v>49</v>
      </c>
      <c r="V26" s="16"/>
      <c r="W26" s="22" t="s">
        <v>80</v>
      </c>
      <c r="X26" s="16"/>
      <c r="Y26" s="25" t="s">
        <v>415</v>
      </c>
      <c r="Z26" s="16"/>
      <c r="AA26" s="23" t="s">
        <v>45</v>
      </c>
      <c r="AB26" s="16"/>
      <c r="AC26" s="23"/>
      <c r="AD26" s="16"/>
    </row>
    <row r="27">
      <c r="E27" s="73"/>
      <c r="F27" s="73"/>
    </row>
    <row r="28">
      <c r="E28" s="73"/>
      <c r="F28" s="73"/>
    </row>
    <row r="29">
      <c r="E29" s="73"/>
      <c r="F29" s="73"/>
    </row>
    <row r="30">
      <c r="E30" s="73"/>
      <c r="F30" s="73"/>
    </row>
    <row r="31">
      <c r="E31" s="73"/>
      <c r="F31" s="73"/>
    </row>
    <row r="32">
      <c r="E32" s="73"/>
      <c r="F32" s="73"/>
    </row>
    <row r="33">
      <c r="E33" s="73"/>
      <c r="F33" s="73"/>
    </row>
    <row r="34">
      <c r="E34" s="73"/>
      <c r="F34" s="73"/>
    </row>
    <row r="35">
      <c r="E35" s="73"/>
      <c r="F35" s="73"/>
    </row>
    <row r="36">
      <c r="E36" s="73"/>
      <c r="F36" s="73"/>
    </row>
    <row r="37">
      <c r="E37" s="73"/>
      <c r="F37" s="73"/>
    </row>
    <row r="38">
      <c r="E38" s="73"/>
      <c r="F38" s="73"/>
    </row>
    <row r="39">
      <c r="E39" s="73"/>
      <c r="F39" s="73"/>
    </row>
    <row r="40">
      <c r="E40" s="73"/>
      <c r="F40" s="73"/>
    </row>
    <row r="41">
      <c r="E41" s="73"/>
      <c r="F41" s="73"/>
    </row>
    <row r="42">
      <c r="E42" s="73"/>
      <c r="F42" s="73"/>
    </row>
    <row r="43">
      <c r="E43" s="73"/>
      <c r="F43" s="73"/>
    </row>
    <row r="44">
      <c r="E44" s="73"/>
      <c r="F44" s="73"/>
    </row>
    <row r="45">
      <c r="E45" s="73"/>
      <c r="F45" s="73"/>
    </row>
    <row r="46">
      <c r="E46" s="73"/>
      <c r="F46" s="73"/>
    </row>
    <row r="47">
      <c r="E47" s="73"/>
      <c r="F47" s="73"/>
    </row>
    <row r="48">
      <c r="E48" s="73"/>
      <c r="F48" s="73"/>
    </row>
    <row r="49">
      <c r="E49" s="73"/>
      <c r="F49" s="73"/>
    </row>
    <row r="50">
      <c r="E50" s="73"/>
      <c r="F50" s="73"/>
    </row>
    <row r="51">
      <c r="E51" s="73"/>
      <c r="F51" s="73"/>
    </row>
    <row r="52">
      <c r="E52" s="73"/>
      <c r="F52" s="73"/>
    </row>
    <row r="53">
      <c r="E53" s="73"/>
      <c r="F53" s="73"/>
    </row>
    <row r="54">
      <c r="E54" s="73"/>
      <c r="F54" s="73"/>
    </row>
    <row r="55">
      <c r="E55" s="73"/>
      <c r="F55" s="73"/>
    </row>
    <row r="56">
      <c r="E56" s="73"/>
      <c r="F56" s="73"/>
    </row>
    <row r="57">
      <c r="E57" s="73"/>
      <c r="F57" s="73"/>
    </row>
    <row r="58">
      <c r="E58" s="73"/>
      <c r="F58" s="73"/>
    </row>
    <row r="59">
      <c r="E59" s="73"/>
      <c r="F59" s="73"/>
    </row>
    <row r="60">
      <c r="E60" s="73"/>
      <c r="F60" s="73"/>
    </row>
    <row r="61">
      <c r="E61" s="73"/>
      <c r="F61" s="73"/>
    </row>
    <row r="62">
      <c r="E62" s="73"/>
      <c r="F62" s="73"/>
    </row>
    <row r="63">
      <c r="E63" s="73"/>
      <c r="F63" s="73"/>
    </row>
    <row r="64">
      <c r="E64" s="73"/>
      <c r="F64" s="73"/>
    </row>
    <row r="65">
      <c r="E65" s="73"/>
      <c r="F65" s="73"/>
    </row>
    <row r="66">
      <c r="E66" s="73"/>
      <c r="F66" s="73"/>
    </row>
    <row r="67">
      <c r="E67" s="73"/>
      <c r="F67" s="73"/>
    </row>
    <row r="68">
      <c r="E68" s="73"/>
      <c r="F68" s="73"/>
    </row>
    <row r="69">
      <c r="E69" s="73"/>
      <c r="F69" s="73"/>
    </row>
    <row r="70">
      <c r="E70" s="73"/>
      <c r="F70" s="73"/>
    </row>
    <row r="71">
      <c r="E71" s="73"/>
      <c r="F71" s="73"/>
    </row>
    <row r="72">
      <c r="E72" s="73"/>
      <c r="F72" s="73"/>
    </row>
    <row r="73">
      <c r="E73" s="73"/>
      <c r="F73" s="73"/>
    </row>
    <row r="74">
      <c r="E74" s="73"/>
      <c r="F74" s="73"/>
    </row>
    <row r="75">
      <c r="E75" s="73"/>
      <c r="F75" s="73"/>
    </row>
    <row r="76">
      <c r="E76" s="73"/>
      <c r="F76" s="73"/>
    </row>
    <row r="77">
      <c r="E77" s="73"/>
      <c r="F77" s="73"/>
    </row>
    <row r="78">
      <c r="E78" s="73"/>
      <c r="F78" s="73"/>
    </row>
    <row r="79">
      <c r="E79" s="73"/>
      <c r="F79" s="73"/>
    </row>
    <row r="80">
      <c r="E80" s="73"/>
      <c r="F80" s="73"/>
    </row>
    <row r="81">
      <c r="E81" s="73"/>
      <c r="F81" s="73"/>
    </row>
    <row r="82">
      <c r="E82" s="73"/>
      <c r="F82" s="73"/>
    </row>
    <row r="83">
      <c r="E83" s="73"/>
      <c r="F83" s="73"/>
    </row>
    <row r="84">
      <c r="E84" s="73"/>
      <c r="F84" s="73"/>
    </row>
    <row r="85">
      <c r="E85" s="73"/>
      <c r="F85" s="73"/>
    </row>
    <row r="86">
      <c r="E86" s="73"/>
      <c r="F86" s="73"/>
    </row>
    <row r="87">
      <c r="E87" s="73"/>
      <c r="F87" s="73"/>
    </row>
    <row r="88">
      <c r="E88" s="73"/>
      <c r="F88" s="73"/>
    </row>
    <row r="89">
      <c r="E89" s="73"/>
      <c r="F89" s="73"/>
    </row>
    <row r="90">
      <c r="E90" s="73"/>
      <c r="F90" s="73"/>
    </row>
    <row r="91">
      <c r="E91" s="73"/>
      <c r="F91" s="73"/>
    </row>
    <row r="92">
      <c r="E92" s="73"/>
      <c r="F92" s="73"/>
    </row>
    <row r="93">
      <c r="E93" s="73"/>
      <c r="F93" s="73"/>
    </row>
    <row r="94">
      <c r="E94" s="73"/>
      <c r="F94" s="73"/>
    </row>
    <row r="95">
      <c r="E95" s="73"/>
      <c r="F95" s="73"/>
    </row>
    <row r="96">
      <c r="E96" s="73"/>
      <c r="F96" s="73"/>
    </row>
    <row r="97">
      <c r="E97" s="73"/>
      <c r="F97" s="73"/>
    </row>
    <row r="98">
      <c r="E98" s="73"/>
      <c r="F98" s="73"/>
    </row>
    <row r="99">
      <c r="E99" s="73"/>
      <c r="F99" s="73"/>
    </row>
    <row r="100">
      <c r="E100" s="73"/>
      <c r="F100" s="73"/>
    </row>
    <row r="101">
      <c r="E101" s="73"/>
      <c r="F101" s="73"/>
    </row>
    <row r="102">
      <c r="E102" s="73"/>
      <c r="F102" s="73"/>
    </row>
    <row r="103">
      <c r="E103" s="73"/>
      <c r="F103" s="73"/>
    </row>
    <row r="104">
      <c r="E104" s="73"/>
      <c r="F104" s="73"/>
    </row>
    <row r="105">
      <c r="E105" s="73"/>
      <c r="F105" s="73"/>
    </row>
    <row r="106">
      <c r="E106" s="73"/>
      <c r="F106" s="73"/>
    </row>
    <row r="107">
      <c r="E107" s="73"/>
      <c r="F107" s="73"/>
    </row>
    <row r="108">
      <c r="E108" s="73"/>
      <c r="F108" s="73"/>
    </row>
    <row r="109">
      <c r="E109" s="73"/>
      <c r="F109" s="73"/>
    </row>
    <row r="110">
      <c r="E110" s="73"/>
      <c r="F110" s="73"/>
    </row>
    <row r="111">
      <c r="E111" s="73"/>
      <c r="F111" s="73"/>
    </row>
    <row r="112">
      <c r="E112" s="73"/>
      <c r="F112" s="73"/>
    </row>
    <row r="113">
      <c r="E113" s="73"/>
      <c r="F113" s="73"/>
    </row>
    <row r="114">
      <c r="E114" s="73"/>
      <c r="F114" s="73"/>
    </row>
    <row r="115">
      <c r="E115" s="73"/>
      <c r="F115" s="73"/>
    </row>
    <row r="116">
      <c r="E116" s="73"/>
      <c r="F116" s="73"/>
    </row>
    <row r="117">
      <c r="E117" s="73"/>
      <c r="F117" s="73"/>
    </row>
    <row r="118">
      <c r="E118" s="73"/>
      <c r="F118" s="73"/>
    </row>
    <row r="119">
      <c r="E119" s="73"/>
      <c r="F119" s="73"/>
    </row>
    <row r="120">
      <c r="E120" s="73"/>
      <c r="F120" s="73"/>
    </row>
    <row r="121">
      <c r="E121" s="73"/>
      <c r="F121" s="73"/>
    </row>
    <row r="122">
      <c r="E122" s="73"/>
      <c r="F122" s="73"/>
    </row>
    <row r="123">
      <c r="E123" s="73"/>
      <c r="F123" s="73"/>
    </row>
    <row r="124">
      <c r="E124" s="73"/>
      <c r="F124" s="73"/>
    </row>
    <row r="125">
      <c r="E125" s="73"/>
      <c r="F125" s="73"/>
    </row>
    <row r="126">
      <c r="E126" s="73"/>
      <c r="F126" s="73"/>
    </row>
    <row r="127">
      <c r="E127" s="73"/>
      <c r="F127" s="73"/>
    </row>
    <row r="128">
      <c r="E128" s="73"/>
      <c r="F128" s="73"/>
    </row>
    <row r="129">
      <c r="E129" s="73"/>
      <c r="F129" s="73"/>
    </row>
    <row r="130">
      <c r="E130" s="73"/>
      <c r="F130" s="73"/>
    </row>
    <row r="131">
      <c r="E131" s="73"/>
      <c r="F131" s="73"/>
    </row>
    <row r="132">
      <c r="E132" s="73"/>
      <c r="F132" s="73"/>
    </row>
    <row r="133">
      <c r="E133" s="73"/>
      <c r="F133" s="73"/>
    </row>
    <row r="134">
      <c r="E134" s="73"/>
      <c r="F134" s="73"/>
    </row>
    <row r="135">
      <c r="E135" s="73"/>
      <c r="F135" s="73"/>
    </row>
    <row r="136">
      <c r="E136" s="73"/>
      <c r="F136" s="73"/>
    </row>
    <row r="137">
      <c r="E137" s="73"/>
      <c r="F137" s="73"/>
    </row>
    <row r="138">
      <c r="E138" s="73"/>
      <c r="F138" s="73"/>
    </row>
    <row r="139">
      <c r="E139" s="73"/>
      <c r="F139" s="73"/>
    </row>
    <row r="140">
      <c r="E140" s="73"/>
      <c r="F140" s="73"/>
    </row>
    <row r="141">
      <c r="E141" s="73"/>
      <c r="F141" s="73"/>
    </row>
    <row r="142">
      <c r="E142" s="73"/>
      <c r="F142" s="73"/>
    </row>
    <row r="143">
      <c r="E143" s="73"/>
      <c r="F143" s="73"/>
    </row>
    <row r="144">
      <c r="E144" s="73"/>
      <c r="F144" s="73"/>
    </row>
    <row r="145">
      <c r="E145" s="73"/>
      <c r="F145" s="73"/>
    </row>
    <row r="146">
      <c r="E146" s="73"/>
      <c r="F146" s="73"/>
    </row>
    <row r="147">
      <c r="E147" s="73"/>
      <c r="F147" s="73"/>
    </row>
    <row r="148">
      <c r="E148" s="73"/>
      <c r="F148" s="73"/>
    </row>
    <row r="149">
      <c r="E149" s="73"/>
      <c r="F149" s="73"/>
    </row>
    <row r="150">
      <c r="E150" s="73"/>
      <c r="F150" s="73"/>
    </row>
    <row r="151">
      <c r="E151" s="73"/>
      <c r="F151" s="73"/>
    </row>
    <row r="152">
      <c r="E152" s="73"/>
      <c r="F152" s="73"/>
    </row>
    <row r="153">
      <c r="E153" s="73"/>
      <c r="F153" s="73"/>
    </row>
    <row r="154">
      <c r="E154" s="73"/>
      <c r="F154" s="73"/>
    </row>
    <row r="155">
      <c r="E155" s="73"/>
      <c r="F155" s="73"/>
    </row>
    <row r="156">
      <c r="E156" s="73"/>
      <c r="F156" s="73"/>
    </row>
    <row r="157">
      <c r="E157" s="73"/>
      <c r="F157" s="73"/>
    </row>
    <row r="158">
      <c r="E158" s="73"/>
      <c r="F158" s="73"/>
    </row>
    <row r="159">
      <c r="E159" s="73"/>
      <c r="F159" s="73"/>
    </row>
    <row r="160">
      <c r="E160" s="73"/>
      <c r="F160" s="73"/>
    </row>
    <row r="161">
      <c r="E161" s="73"/>
      <c r="F161" s="73"/>
    </row>
    <row r="162">
      <c r="E162" s="73"/>
      <c r="F162" s="73"/>
    </row>
    <row r="163">
      <c r="E163" s="73"/>
      <c r="F163" s="73"/>
    </row>
    <row r="164">
      <c r="E164" s="73"/>
      <c r="F164" s="73"/>
    </row>
    <row r="165">
      <c r="E165" s="73"/>
      <c r="F165" s="73"/>
    </row>
    <row r="166">
      <c r="E166" s="73"/>
      <c r="F166" s="73"/>
    </row>
    <row r="167">
      <c r="E167" s="73"/>
      <c r="F167" s="73"/>
    </row>
    <row r="168">
      <c r="E168" s="73"/>
      <c r="F168" s="73"/>
    </row>
    <row r="169">
      <c r="E169" s="73"/>
      <c r="F169" s="73"/>
    </row>
    <row r="170">
      <c r="E170" s="73"/>
      <c r="F170" s="73"/>
    </row>
    <row r="171">
      <c r="E171" s="73"/>
      <c r="F171" s="73"/>
    </row>
    <row r="172">
      <c r="E172" s="73"/>
      <c r="F172" s="73"/>
    </row>
    <row r="173">
      <c r="E173" s="73"/>
      <c r="F173" s="73"/>
    </row>
    <row r="174">
      <c r="E174" s="73"/>
      <c r="F174" s="73"/>
    </row>
    <row r="175">
      <c r="E175" s="73"/>
      <c r="F175" s="73"/>
    </row>
    <row r="176">
      <c r="E176" s="73"/>
      <c r="F176" s="73"/>
    </row>
    <row r="177">
      <c r="E177" s="73"/>
      <c r="F177" s="73"/>
    </row>
    <row r="178">
      <c r="E178" s="73"/>
      <c r="F178" s="73"/>
    </row>
    <row r="179">
      <c r="E179" s="73"/>
      <c r="F179" s="73"/>
    </row>
    <row r="180">
      <c r="E180" s="73"/>
      <c r="F180" s="73"/>
    </row>
    <row r="181">
      <c r="E181" s="73"/>
      <c r="F181" s="73"/>
    </row>
    <row r="182">
      <c r="E182" s="73"/>
      <c r="F182" s="73"/>
    </row>
    <row r="183">
      <c r="E183" s="73"/>
      <c r="F183" s="73"/>
    </row>
    <row r="184">
      <c r="E184" s="73"/>
      <c r="F184" s="73"/>
    </row>
    <row r="185">
      <c r="E185" s="73"/>
      <c r="F185" s="73"/>
    </row>
    <row r="186">
      <c r="E186" s="73"/>
      <c r="F186" s="73"/>
    </row>
    <row r="187">
      <c r="E187" s="73"/>
      <c r="F187" s="73"/>
    </row>
    <row r="188">
      <c r="E188" s="73"/>
      <c r="F188" s="73"/>
    </row>
    <row r="189">
      <c r="E189" s="73"/>
      <c r="F189" s="73"/>
    </row>
    <row r="190">
      <c r="E190" s="73"/>
      <c r="F190" s="73"/>
    </row>
    <row r="191">
      <c r="E191" s="73"/>
      <c r="F191" s="73"/>
    </row>
    <row r="192">
      <c r="E192" s="73"/>
      <c r="F192" s="73"/>
    </row>
    <row r="193">
      <c r="E193" s="73"/>
      <c r="F193" s="73"/>
    </row>
    <row r="194">
      <c r="E194" s="73"/>
      <c r="F194" s="73"/>
    </row>
    <row r="195">
      <c r="E195" s="73"/>
      <c r="F195" s="73"/>
    </row>
    <row r="196">
      <c r="E196" s="73"/>
      <c r="F196" s="73"/>
    </row>
    <row r="197">
      <c r="E197" s="73"/>
      <c r="F197" s="73"/>
    </row>
    <row r="198">
      <c r="E198" s="73"/>
      <c r="F198" s="73"/>
    </row>
    <row r="199">
      <c r="E199" s="73"/>
      <c r="F199" s="73"/>
    </row>
    <row r="200">
      <c r="E200" s="73"/>
      <c r="F200" s="73"/>
    </row>
    <row r="201">
      <c r="E201" s="73"/>
      <c r="F201" s="73"/>
    </row>
    <row r="202">
      <c r="E202" s="73"/>
      <c r="F202" s="73"/>
    </row>
    <row r="203">
      <c r="E203" s="73"/>
      <c r="F203" s="73"/>
    </row>
    <row r="204">
      <c r="E204" s="73"/>
      <c r="F204" s="73"/>
    </row>
    <row r="205">
      <c r="E205" s="73"/>
      <c r="F205" s="73"/>
    </row>
    <row r="206">
      <c r="E206" s="73"/>
      <c r="F206" s="73"/>
    </row>
    <row r="207">
      <c r="E207" s="73"/>
      <c r="F207" s="73"/>
    </row>
    <row r="208">
      <c r="E208" s="73"/>
      <c r="F208" s="73"/>
    </row>
    <row r="209">
      <c r="E209" s="73"/>
      <c r="F209" s="73"/>
    </row>
    <row r="210">
      <c r="E210" s="73"/>
      <c r="F210" s="73"/>
    </row>
    <row r="211">
      <c r="E211" s="73"/>
      <c r="F211" s="73"/>
    </row>
    <row r="212">
      <c r="E212" s="73"/>
      <c r="F212" s="73"/>
    </row>
    <row r="213">
      <c r="E213" s="73"/>
      <c r="F213" s="73"/>
    </row>
    <row r="214">
      <c r="E214" s="73"/>
      <c r="F214" s="73"/>
    </row>
    <row r="215">
      <c r="E215" s="73"/>
      <c r="F215" s="73"/>
    </row>
    <row r="216">
      <c r="E216" s="73"/>
      <c r="F216" s="73"/>
    </row>
    <row r="217">
      <c r="E217" s="73"/>
      <c r="F217" s="73"/>
    </row>
    <row r="218">
      <c r="E218" s="73"/>
      <c r="F218" s="73"/>
    </row>
    <row r="219">
      <c r="E219" s="73"/>
      <c r="F219" s="73"/>
    </row>
    <row r="220">
      <c r="E220" s="73"/>
      <c r="F220" s="73"/>
    </row>
    <row r="221">
      <c r="E221" s="73"/>
      <c r="F221" s="73"/>
    </row>
    <row r="222">
      <c r="E222" s="73"/>
      <c r="F222" s="73"/>
    </row>
    <row r="223">
      <c r="E223" s="73"/>
      <c r="F223" s="73"/>
    </row>
    <row r="224">
      <c r="E224" s="73"/>
      <c r="F224" s="73"/>
    </row>
    <row r="225">
      <c r="E225" s="73"/>
      <c r="F225" s="73"/>
    </row>
    <row r="226">
      <c r="E226" s="73"/>
      <c r="F226" s="73"/>
    </row>
    <row r="227">
      <c r="E227" s="73"/>
      <c r="F227" s="73"/>
    </row>
    <row r="228">
      <c r="E228" s="73"/>
      <c r="F228" s="73"/>
    </row>
    <row r="229">
      <c r="E229" s="73"/>
      <c r="F229" s="73"/>
    </row>
    <row r="230">
      <c r="E230" s="73"/>
      <c r="F230" s="73"/>
    </row>
    <row r="231">
      <c r="E231" s="73"/>
      <c r="F231" s="73"/>
    </row>
    <row r="232">
      <c r="E232" s="73"/>
      <c r="F232" s="73"/>
    </row>
    <row r="233">
      <c r="E233" s="73"/>
      <c r="F233" s="73"/>
    </row>
    <row r="234">
      <c r="E234" s="73"/>
      <c r="F234" s="73"/>
    </row>
    <row r="235">
      <c r="E235" s="73"/>
      <c r="F235" s="73"/>
    </row>
    <row r="236">
      <c r="E236" s="73"/>
      <c r="F236" s="73"/>
    </row>
    <row r="237">
      <c r="E237" s="73"/>
      <c r="F237" s="73"/>
    </row>
    <row r="238">
      <c r="E238" s="73"/>
      <c r="F238" s="73"/>
    </row>
    <row r="239">
      <c r="E239" s="73"/>
      <c r="F239" s="73"/>
    </row>
    <row r="240">
      <c r="E240" s="73"/>
      <c r="F240" s="73"/>
    </row>
    <row r="241">
      <c r="E241" s="73"/>
      <c r="F241" s="73"/>
    </row>
    <row r="242">
      <c r="E242" s="73"/>
      <c r="F242" s="73"/>
    </row>
    <row r="243">
      <c r="E243" s="73"/>
      <c r="F243" s="73"/>
    </row>
    <row r="244">
      <c r="E244" s="73"/>
      <c r="F244" s="73"/>
    </row>
    <row r="245">
      <c r="E245" s="73"/>
      <c r="F245" s="73"/>
    </row>
    <row r="246">
      <c r="E246" s="73"/>
      <c r="F246" s="73"/>
    </row>
    <row r="247">
      <c r="E247" s="73"/>
      <c r="F247" s="73"/>
    </row>
    <row r="248">
      <c r="E248" s="73"/>
      <c r="F248" s="73"/>
    </row>
    <row r="249">
      <c r="E249" s="73"/>
      <c r="F249" s="73"/>
    </row>
    <row r="250">
      <c r="E250" s="73"/>
      <c r="F250" s="73"/>
    </row>
    <row r="251">
      <c r="E251" s="73"/>
      <c r="F251" s="73"/>
    </row>
    <row r="252">
      <c r="E252" s="73"/>
      <c r="F252" s="73"/>
    </row>
    <row r="253">
      <c r="E253" s="73"/>
      <c r="F253" s="73"/>
    </row>
    <row r="254">
      <c r="E254" s="73"/>
      <c r="F254" s="73"/>
    </row>
    <row r="255">
      <c r="E255" s="73"/>
      <c r="F255" s="73"/>
    </row>
    <row r="256">
      <c r="E256" s="73"/>
      <c r="F256" s="73"/>
    </row>
    <row r="257">
      <c r="E257" s="73"/>
      <c r="F257" s="73"/>
    </row>
    <row r="258">
      <c r="E258" s="73"/>
      <c r="F258" s="73"/>
    </row>
    <row r="259">
      <c r="E259" s="73"/>
      <c r="F259" s="73"/>
    </row>
    <row r="260">
      <c r="E260" s="73"/>
      <c r="F260" s="73"/>
    </row>
    <row r="261">
      <c r="E261" s="73"/>
      <c r="F261" s="73"/>
    </row>
    <row r="262">
      <c r="E262" s="73"/>
      <c r="F262" s="73"/>
    </row>
    <row r="263">
      <c r="E263" s="73"/>
      <c r="F263" s="73"/>
    </row>
    <row r="264">
      <c r="E264" s="73"/>
      <c r="F264" s="73"/>
    </row>
    <row r="265">
      <c r="E265" s="73"/>
      <c r="F265" s="73"/>
    </row>
    <row r="266">
      <c r="E266" s="73"/>
      <c r="F266" s="73"/>
    </row>
    <row r="267">
      <c r="E267" s="73"/>
      <c r="F267" s="73"/>
    </row>
    <row r="268">
      <c r="E268" s="73"/>
      <c r="F268" s="73"/>
    </row>
    <row r="269">
      <c r="E269" s="73"/>
      <c r="F269" s="73"/>
    </row>
    <row r="270">
      <c r="E270" s="73"/>
      <c r="F270" s="73"/>
    </row>
    <row r="271">
      <c r="E271" s="73"/>
      <c r="F271" s="73"/>
    </row>
    <row r="272">
      <c r="E272" s="73"/>
      <c r="F272" s="73"/>
    </row>
    <row r="273">
      <c r="E273" s="73"/>
      <c r="F273" s="73"/>
    </row>
    <row r="274">
      <c r="E274" s="73"/>
      <c r="F274" s="73"/>
    </row>
    <row r="275">
      <c r="E275" s="73"/>
      <c r="F275" s="73"/>
    </row>
    <row r="276">
      <c r="E276" s="73"/>
      <c r="F276" s="73"/>
    </row>
    <row r="277">
      <c r="E277" s="73"/>
      <c r="F277" s="73"/>
    </row>
    <row r="278">
      <c r="E278" s="73"/>
      <c r="F278" s="73"/>
    </row>
    <row r="279">
      <c r="E279" s="73"/>
      <c r="F279" s="73"/>
    </row>
    <row r="280">
      <c r="E280" s="73"/>
      <c r="F280" s="73"/>
    </row>
    <row r="281">
      <c r="E281" s="73"/>
      <c r="F281" s="73"/>
    </row>
    <row r="282">
      <c r="E282" s="73"/>
      <c r="F282" s="73"/>
    </row>
    <row r="283">
      <c r="E283" s="73"/>
      <c r="F283" s="73"/>
    </row>
    <row r="284">
      <c r="E284" s="73"/>
      <c r="F284" s="73"/>
    </row>
    <row r="285">
      <c r="E285" s="73"/>
      <c r="F285" s="73"/>
    </row>
    <row r="286">
      <c r="E286" s="73"/>
      <c r="F286" s="73"/>
    </row>
    <row r="287">
      <c r="E287" s="73"/>
      <c r="F287" s="73"/>
    </row>
    <row r="288">
      <c r="E288" s="73"/>
      <c r="F288" s="73"/>
    </row>
    <row r="289">
      <c r="E289" s="73"/>
      <c r="F289" s="73"/>
    </row>
    <row r="290">
      <c r="E290" s="73"/>
      <c r="F290" s="73"/>
    </row>
    <row r="291">
      <c r="E291" s="73"/>
      <c r="F291" s="73"/>
    </row>
    <row r="292">
      <c r="E292" s="73"/>
      <c r="F292" s="73"/>
    </row>
    <row r="293">
      <c r="E293" s="73"/>
      <c r="F293" s="73"/>
    </row>
    <row r="294">
      <c r="E294" s="73"/>
      <c r="F294" s="73"/>
    </row>
    <row r="295">
      <c r="E295" s="73"/>
      <c r="F295" s="73"/>
    </row>
    <row r="296">
      <c r="E296" s="73"/>
      <c r="F296" s="73"/>
    </row>
    <row r="297">
      <c r="E297" s="73"/>
      <c r="F297" s="73"/>
    </row>
    <row r="298">
      <c r="E298" s="73"/>
      <c r="F298" s="73"/>
    </row>
    <row r="299">
      <c r="E299" s="73"/>
      <c r="F299" s="73"/>
    </row>
    <row r="300">
      <c r="E300" s="73"/>
      <c r="F300" s="73"/>
    </row>
    <row r="301">
      <c r="E301" s="73"/>
      <c r="F301" s="73"/>
    </row>
    <row r="302">
      <c r="E302" s="73"/>
      <c r="F302" s="73"/>
    </row>
    <row r="303">
      <c r="E303" s="73"/>
      <c r="F303" s="73"/>
    </row>
    <row r="304">
      <c r="E304" s="73"/>
      <c r="F304" s="73"/>
    </row>
    <row r="305">
      <c r="E305" s="73"/>
      <c r="F305" s="73"/>
    </row>
    <row r="306">
      <c r="E306" s="73"/>
      <c r="F306" s="73"/>
    </row>
    <row r="307">
      <c r="E307" s="73"/>
      <c r="F307" s="73"/>
    </row>
    <row r="308">
      <c r="E308" s="73"/>
      <c r="F308" s="73"/>
    </row>
    <row r="309">
      <c r="E309" s="73"/>
      <c r="F309" s="73"/>
    </row>
    <row r="310">
      <c r="E310" s="73"/>
      <c r="F310" s="73"/>
    </row>
    <row r="311">
      <c r="E311" s="73"/>
      <c r="F311" s="73"/>
    </row>
    <row r="312">
      <c r="E312" s="73"/>
      <c r="F312" s="73"/>
    </row>
    <row r="313">
      <c r="E313" s="73"/>
      <c r="F313" s="73"/>
    </row>
    <row r="314">
      <c r="E314" s="73"/>
      <c r="F314" s="73"/>
    </row>
    <row r="315">
      <c r="E315" s="73"/>
      <c r="F315" s="73"/>
    </row>
    <row r="316">
      <c r="E316" s="73"/>
      <c r="F316" s="73"/>
    </row>
    <row r="317">
      <c r="E317" s="73"/>
      <c r="F317" s="73"/>
    </row>
    <row r="318">
      <c r="E318" s="73"/>
      <c r="F318" s="73"/>
    </row>
    <row r="319">
      <c r="E319" s="73"/>
      <c r="F319" s="73"/>
    </row>
    <row r="320">
      <c r="E320" s="73"/>
      <c r="F320" s="73"/>
    </row>
    <row r="321">
      <c r="E321" s="73"/>
      <c r="F321" s="73"/>
    </row>
    <row r="322">
      <c r="E322" s="73"/>
      <c r="F322" s="73"/>
    </row>
    <row r="323">
      <c r="E323" s="73"/>
      <c r="F323" s="73"/>
    </row>
    <row r="324">
      <c r="E324" s="73"/>
      <c r="F324" s="73"/>
    </row>
    <row r="325">
      <c r="E325" s="73"/>
      <c r="F325" s="73"/>
    </row>
    <row r="326">
      <c r="E326" s="73"/>
      <c r="F326" s="73"/>
    </row>
    <row r="327">
      <c r="E327" s="73"/>
      <c r="F327" s="73"/>
    </row>
    <row r="328">
      <c r="E328" s="73"/>
      <c r="F328" s="73"/>
    </row>
    <row r="329">
      <c r="E329" s="73"/>
      <c r="F329" s="73"/>
    </row>
    <row r="330">
      <c r="E330" s="73"/>
      <c r="F330" s="73"/>
    </row>
    <row r="331">
      <c r="E331" s="73"/>
      <c r="F331" s="73"/>
    </row>
    <row r="332">
      <c r="E332" s="73"/>
      <c r="F332" s="73"/>
    </row>
    <row r="333">
      <c r="E333" s="73"/>
      <c r="F333" s="73"/>
    </row>
    <row r="334">
      <c r="E334" s="73"/>
      <c r="F334" s="73"/>
    </row>
    <row r="335">
      <c r="E335" s="73"/>
      <c r="F335" s="73"/>
    </row>
    <row r="336">
      <c r="E336" s="73"/>
      <c r="F336" s="73"/>
    </row>
    <row r="337">
      <c r="E337" s="73"/>
      <c r="F337" s="73"/>
    </row>
    <row r="338">
      <c r="E338" s="73"/>
      <c r="F338" s="73"/>
    </row>
    <row r="339">
      <c r="E339" s="73"/>
      <c r="F339" s="73"/>
    </row>
    <row r="340">
      <c r="E340" s="73"/>
      <c r="F340" s="73"/>
    </row>
    <row r="341">
      <c r="E341" s="73"/>
      <c r="F341" s="73"/>
    </row>
    <row r="342">
      <c r="E342" s="73"/>
      <c r="F342" s="73"/>
    </row>
    <row r="343">
      <c r="E343" s="73"/>
      <c r="F343" s="73"/>
    </row>
    <row r="344">
      <c r="E344" s="73"/>
      <c r="F344" s="73"/>
    </row>
    <row r="345">
      <c r="E345" s="73"/>
      <c r="F345" s="73"/>
    </row>
    <row r="346">
      <c r="E346" s="73"/>
      <c r="F346" s="73"/>
    </row>
    <row r="347">
      <c r="E347" s="73"/>
      <c r="F347" s="73"/>
    </row>
    <row r="348">
      <c r="E348" s="73"/>
      <c r="F348" s="73"/>
    </row>
    <row r="349">
      <c r="E349" s="73"/>
      <c r="F349" s="73"/>
    </row>
    <row r="350">
      <c r="E350" s="73"/>
      <c r="F350" s="73"/>
    </row>
    <row r="351">
      <c r="E351" s="73"/>
      <c r="F351" s="73"/>
    </row>
    <row r="352">
      <c r="E352" s="73"/>
      <c r="F352" s="73"/>
    </row>
    <row r="353">
      <c r="E353" s="73"/>
      <c r="F353" s="73"/>
    </row>
    <row r="354">
      <c r="E354" s="73"/>
      <c r="F354" s="73"/>
    </row>
    <row r="355">
      <c r="E355" s="73"/>
      <c r="F355" s="73"/>
    </row>
    <row r="356">
      <c r="E356" s="73"/>
      <c r="F356" s="73"/>
    </row>
    <row r="357">
      <c r="E357" s="73"/>
      <c r="F357" s="73"/>
    </row>
    <row r="358">
      <c r="E358" s="73"/>
      <c r="F358" s="73"/>
    </row>
    <row r="359">
      <c r="E359" s="73"/>
      <c r="F359" s="73"/>
    </row>
    <row r="360">
      <c r="E360" s="73"/>
      <c r="F360" s="73"/>
    </row>
    <row r="361">
      <c r="E361" s="73"/>
      <c r="F361" s="73"/>
    </row>
    <row r="362">
      <c r="E362" s="73"/>
      <c r="F362" s="73"/>
    </row>
    <row r="363">
      <c r="E363" s="73"/>
      <c r="F363" s="73"/>
    </row>
    <row r="364">
      <c r="E364" s="73"/>
      <c r="F364" s="73"/>
    </row>
    <row r="365">
      <c r="E365" s="73"/>
      <c r="F365" s="73"/>
    </row>
    <row r="366">
      <c r="E366" s="73"/>
      <c r="F366" s="73"/>
    </row>
    <row r="367">
      <c r="E367" s="73"/>
      <c r="F367" s="73"/>
    </row>
    <row r="368">
      <c r="E368" s="73"/>
      <c r="F368" s="73"/>
    </row>
    <row r="369">
      <c r="E369" s="73"/>
      <c r="F369" s="73"/>
    </row>
    <row r="370">
      <c r="E370" s="73"/>
      <c r="F370" s="73"/>
    </row>
    <row r="371">
      <c r="E371" s="73"/>
      <c r="F371" s="73"/>
    </row>
    <row r="372">
      <c r="E372" s="73"/>
      <c r="F372" s="73"/>
    </row>
    <row r="373">
      <c r="E373" s="73"/>
      <c r="F373" s="73"/>
    </row>
    <row r="374">
      <c r="E374" s="73"/>
      <c r="F374" s="73"/>
    </row>
    <row r="375">
      <c r="E375" s="73"/>
      <c r="F375" s="73"/>
    </row>
    <row r="376">
      <c r="E376" s="73"/>
      <c r="F376" s="73"/>
    </row>
    <row r="377">
      <c r="E377" s="73"/>
      <c r="F377" s="73"/>
    </row>
    <row r="378">
      <c r="E378" s="73"/>
      <c r="F378" s="73"/>
    </row>
    <row r="379">
      <c r="E379" s="73"/>
      <c r="F379" s="73"/>
    </row>
    <row r="380">
      <c r="E380" s="73"/>
      <c r="F380" s="73"/>
    </row>
    <row r="381">
      <c r="E381" s="73"/>
      <c r="F381" s="73"/>
    </row>
    <row r="382">
      <c r="E382" s="73"/>
      <c r="F382" s="73"/>
    </row>
    <row r="383">
      <c r="E383" s="73"/>
      <c r="F383" s="73"/>
    </row>
    <row r="384">
      <c r="E384" s="73"/>
      <c r="F384" s="73"/>
    </row>
    <row r="385">
      <c r="E385" s="73"/>
      <c r="F385" s="73"/>
    </row>
    <row r="386">
      <c r="E386" s="73"/>
      <c r="F386" s="73"/>
    </row>
    <row r="387">
      <c r="E387" s="73"/>
      <c r="F387" s="73"/>
    </row>
    <row r="388">
      <c r="E388" s="73"/>
      <c r="F388" s="73"/>
    </row>
    <row r="389">
      <c r="E389" s="73"/>
      <c r="F389" s="73"/>
    </row>
    <row r="390">
      <c r="E390" s="73"/>
      <c r="F390" s="73"/>
    </row>
    <row r="391">
      <c r="E391" s="73"/>
      <c r="F391" s="73"/>
    </row>
    <row r="392">
      <c r="E392" s="73"/>
      <c r="F392" s="73"/>
    </row>
    <row r="393">
      <c r="E393" s="73"/>
      <c r="F393" s="73"/>
    </row>
    <row r="394">
      <c r="E394" s="73"/>
      <c r="F394" s="73"/>
    </row>
    <row r="395">
      <c r="E395" s="73"/>
      <c r="F395" s="73"/>
    </row>
    <row r="396">
      <c r="E396" s="73"/>
      <c r="F396" s="73"/>
    </row>
    <row r="397">
      <c r="E397" s="73"/>
      <c r="F397" s="73"/>
    </row>
    <row r="398">
      <c r="E398" s="73"/>
      <c r="F398" s="73"/>
    </row>
    <row r="399">
      <c r="E399" s="73"/>
      <c r="F399" s="73"/>
    </row>
    <row r="400">
      <c r="E400" s="73"/>
      <c r="F400" s="73"/>
    </row>
    <row r="401">
      <c r="E401" s="73"/>
      <c r="F401" s="73"/>
    </row>
    <row r="402">
      <c r="E402" s="73"/>
      <c r="F402" s="73"/>
    </row>
    <row r="403">
      <c r="E403" s="73"/>
      <c r="F403" s="73"/>
    </row>
    <row r="404">
      <c r="E404" s="73"/>
      <c r="F404" s="73"/>
    </row>
    <row r="405">
      <c r="E405" s="73"/>
      <c r="F405" s="73"/>
    </row>
    <row r="406">
      <c r="E406" s="73"/>
      <c r="F406" s="73"/>
    </row>
    <row r="407">
      <c r="E407" s="73"/>
      <c r="F407" s="73"/>
    </row>
    <row r="408">
      <c r="E408" s="73"/>
      <c r="F408" s="73"/>
    </row>
    <row r="409">
      <c r="E409" s="73"/>
      <c r="F409" s="73"/>
    </row>
    <row r="410">
      <c r="E410" s="73"/>
      <c r="F410" s="73"/>
    </row>
    <row r="411">
      <c r="E411" s="73"/>
      <c r="F411" s="73"/>
    </row>
    <row r="412">
      <c r="E412" s="73"/>
      <c r="F412" s="73"/>
    </row>
    <row r="413">
      <c r="E413" s="73"/>
      <c r="F413" s="73"/>
    </row>
    <row r="414">
      <c r="E414" s="73"/>
      <c r="F414" s="73"/>
    </row>
    <row r="415">
      <c r="E415" s="73"/>
      <c r="F415" s="73"/>
    </row>
    <row r="416">
      <c r="E416" s="73"/>
      <c r="F416" s="73"/>
    </row>
    <row r="417">
      <c r="E417" s="73"/>
      <c r="F417" s="73"/>
    </row>
    <row r="418">
      <c r="E418" s="73"/>
      <c r="F418" s="73"/>
    </row>
    <row r="419">
      <c r="E419" s="73"/>
      <c r="F419" s="73"/>
    </row>
    <row r="420">
      <c r="E420" s="73"/>
      <c r="F420" s="73"/>
    </row>
    <row r="421">
      <c r="E421" s="73"/>
      <c r="F421" s="73"/>
    </row>
    <row r="422">
      <c r="E422" s="73"/>
      <c r="F422" s="73"/>
    </row>
    <row r="423">
      <c r="E423" s="73"/>
      <c r="F423" s="73"/>
    </row>
    <row r="424">
      <c r="E424" s="73"/>
      <c r="F424" s="73"/>
    </row>
    <row r="425">
      <c r="E425" s="73"/>
      <c r="F425" s="73"/>
    </row>
    <row r="426">
      <c r="E426" s="73"/>
      <c r="F426" s="73"/>
    </row>
    <row r="427">
      <c r="E427" s="73"/>
      <c r="F427" s="73"/>
    </row>
    <row r="428">
      <c r="E428" s="73"/>
      <c r="F428" s="73"/>
    </row>
    <row r="429">
      <c r="E429" s="73"/>
      <c r="F429" s="73"/>
    </row>
    <row r="430">
      <c r="E430" s="73"/>
      <c r="F430" s="73"/>
    </row>
    <row r="431">
      <c r="E431" s="73"/>
      <c r="F431" s="73"/>
    </row>
    <row r="432">
      <c r="E432" s="73"/>
      <c r="F432" s="73"/>
    </row>
    <row r="433">
      <c r="E433" s="73"/>
      <c r="F433" s="73"/>
    </row>
    <row r="434">
      <c r="E434" s="73"/>
      <c r="F434" s="73"/>
    </row>
    <row r="435">
      <c r="E435" s="73"/>
      <c r="F435" s="73"/>
    </row>
    <row r="436">
      <c r="E436" s="73"/>
      <c r="F436" s="73"/>
    </row>
    <row r="437">
      <c r="E437" s="73"/>
      <c r="F437" s="73"/>
    </row>
    <row r="438">
      <c r="E438" s="73"/>
      <c r="F438" s="73"/>
    </row>
    <row r="439">
      <c r="E439" s="73"/>
      <c r="F439" s="73"/>
    </row>
    <row r="440">
      <c r="E440" s="73"/>
      <c r="F440" s="73"/>
    </row>
    <row r="441">
      <c r="E441" s="73"/>
      <c r="F441" s="73"/>
    </row>
    <row r="442">
      <c r="E442" s="73"/>
      <c r="F442" s="73"/>
    </row>
    <row r="443">
      <c r="E443" s="73"/>
      <c r="F443" s="73"/>
    </row>
    <row r="444">
      <c r="E444" s="73"/>
      <c r="F444" s="73"/>
    </row>
    <row r="445">
      <c r="E445" s="73"/>
      <c r="F445" s="73"/>
    </row>
    <row r="446">
      <c r="E446" s="73"/>
      <c r="F446" s="73"/>
    </row>
    <row r="447">
      <c r="E447" s="73"/>
      <c r="F447" s="73"/>
    </row>
    <row r="448">
      <c r="E448" s="73"/>
      <c r="F448" s="73"/>
    </row>
    <row r="449">
      <c r="E449" s="73"/>
      <c r="F449" s="73"/>
    </row>
    <row r="450">
      <c r="E450" s="73"/>
      <c r="F450" s="73"/>
    </row>
    <row r="451">
      <c r="E451" s="73"/>
      <c r="F451" s="73"/>
    </row>
    <row r="452">
      <c r="E452" s="73"/>
      <c r="F452" s="73"/>
    </row>
    <row r="453">
      <c r="E453" s="73"/>
      <c r="F453" s="73"/>
    </row>
    <row r="454">
      <c r="E454" s="73"/>
      <c r="F454" s="73"/>
    </row>
    <row r="455">
      <c r="E455" s="73"/>
      <c r="F455" s="73"/>
    </row>
    <row r="456">
      <c r="E456" s="73"/>
      <c r="F456" s="73"/>
    </row>
    <row r="457">
      <c r="E457" s="73"/>
      <c r="F457" s="73"/>
    </row>
    <row r="458">
      <c r="E458" s="73"/>
      <c r="F458" s="73"/>
    </row>
    <row r="459">
      <c r="E459" s="73"/>
      <c r="F459" s="73"/>
    </row>
    <row r="460">
      <c r="E460" s="73"/>
      <c r="F460" s="73"/>
    </row>
    <row r="461">
      <c r="E461" s="73"/>
      <c r="F461" s="73"/>
    </row>
    <row r="462">
      <c r="E462" s="73"/>
      <c r="F462" s="73"/>
    </row>
    <row r="463">
      <c r="E463" s="73"/>
      <c r="F463" s="73"/>
    </row>
    <row r="464">
      <c r="E464" s="73"/>
      <c r="F464" s="73"/>
    </row>
    <row r="465">
      <c r="E465" s="73"/>
      <c r="F465" s="73"/>
    </row>
    <row r="466">
      <c r="E466" s="73"/>
      <c r="F466" s="73"/>
    </row>
    <row r="467">
      <c r="E467" s="73"/>
      <c r="F467" s="73"/>
    </row>
    <row r="468">
      <c r="E468" s="73"/>
      <c r="F468" s="73"/>
    </row>
    <row r="469">
      <c r="E469" s="73"/>
      <c r="F469" s="73"/>
    </row>
    <row r="470">
      <c r="E470" s="73"/>
      <c r="F470" s="73"/>
    </row>
    <row r="471">
      <c r="E471" s="73"/>
      <c r="F471" s="73"/>
    </row>
    <row r="472">
      <c r="E472" s="73"/>
      <c r="F472" s="73"/>
    </row>
    <row r="473">
      <c r="E473" s="73"/>
      <c r="F473" s="73"/>
    </row>
    <row r="474">
      <c r="E474" s="73"/>
      <c r="F474" s="73"/>
    </row>
    <row r="475">
      <c r="E475" s="73"/>
      <c r="F475" s="73"/>
    </row>
    <row r="476">
      <c r="E476" s="73"/>
      <c r="F476" s="73"/>
    </row>
    <row r="477">
      <c r="E477" s="73"/>
      <c r="F477" s="73"/>
    </row>
    <row r="478">
      <c r="E478" s="73"/>
      <c r="F478" s="73"/>
    </row>
    <row r="479">
      <c r="E479" s="73"/>
      <c r="F479" s="73"/>
    </row>
    <row r="480">
      <c r="E480" s="73"/>
      <c r="F480" s="73"/>
    </row>
    <row r="481">
      <c r="E481" s="73"/>
      <c r="F481" s="73"/>
    </row>
    <row r="482">
      <c r="E482" s="73"/>
      <c r="F482" s="73"/>
    </row>
    <row r="483">
      <c r="E483" s="73"/>
      <c r="F483" s="73"/>
    </row>
    <row r="484">
      <c r="E484" s="73"/>
      <c r="F484" s="73"/>
    </row>
    <row r="485">
      <c r="E485" s="73"/>
      <c r="F485" s="73"/>
    </row>
    <row r="486">
      <c r="E486" s="73"/>
      <c r="F486" s="73"/>
    </row>
    <row r="487">
      <c r="E487" s="73"/>
      <c r="F487" s="73"/>
    </row>
    <row r="488">
      <c r="E488" s="73"/>
      <c r="F488" s="73"/>
    </row>
    <row r="489">
      <c r="E489" s="73"/>
      <c r="F489" s="73"/>
    </row>
    <row r="490">
      <c r="E490" s="73"/>
      <c r="F490" s="73"/>
    </row>
    <row r="491">
      <c r="E491" s="73"/>
      <c r="F491" s="73"/>
    </row>
    <row r="492">
      <c r="E492" s="73"/>
      <c r="F492" s="73"/>
    </row>
    <row r="493">
      <c r="E493" s="73"/>
      <c r="F493" s="73"/>
    </row>
    <row r="494">
      <c r="E494" s="73"/>
      <c r="F494" s="73"/>
    </row>
    <row r="495">
      <c r="E495" s="73"/>
      <c r="F495" s="73"/>
    </row>
    <row r="496">
      <c r="E496" s="73"/>
      <c r="F496" s="73"/>
    </row>
    <row r="497">
      <c r="E497" s="73"/>
      <c r="F497" s="73"/>
    </row>
    <row r="498">
      <c r="E498" s="73"/>
      <c r="F498" s="73"/>
    </row>
    <row r="499">
      <c r="E499" s="73"/>
      <c r="F499" s="73"/>
    </row>
    <row r="500">
      <c r="E500" s="73"/>
      <c r="F500" s="73"/>
    </row>
    <row r="501">
      <c r="E501" s="73"/>
      <c r="F501" s="73"/>
    </row>
    <row r="502">
      <c r="E502" s="73"/>
      <c r="F502" s="73"/>
    </row>
    <row r="503">
      <c r="E503" s="73"/>
      <c r="F503" s="73"/>
    </row>
    <row r="504">
      <c r="E504" s="73"/>
      <c r="F504" s="73"/>
    </row>
    <row r="505">
      <c r="E505" s="73"/>
      <c r="F505" s="73"/>
    </row>
    <row r="506">
      <c r="E506" s="73"/>
      <c r="F506" s="73"/>
    </row>
    <row r="507">
      <c r="E507" s="73"/>
      <c r="F507" s="73"/>
    </row>
    <row r="508">
      <c r="E508" s="73"/>
      <c r="F508" s="73"/>
    </row>
    <row r="509">
      <c r="E509" s="73"/>
      <c r="F509" s="73"/>
    </row>
    <row r="510">
      <c r="E510" s="73"/>
      <c r="F510" s="73"/>
    </row>
    <row r="511">
      <c r="E511" s="73"/>
      <c r="F511" s="73"/>
    </row>
    <row r="512">
      <c r="E512" s="73"/>
      <c r="F512" s="73"/>
    </row>
    <row r="513">
      <c r="E513" s="73"/>
      <c r="F513" s="73"/>
    </row>
    <row r="514">
      <c r="E514" s="73"/>
      <c r="F514" s="73"/>
    </row>
    <row r="515">
      <c r="E515" s="73"/>
      <c r="F515" s="73"/>
    </row>
    <row r="516">
      <c r="E516" s="73"/>
      <c r="F516" s="73"/>
    </row>
    <row r="517">
      <c r="E517" s="73"/>
      <c r="F517" s="73"/>
    </row>
    <row r="518">
      <c r="E518" s="73"/>
      <c r="F518" s="73"/>
    </row>
    <row r="519">
      <c r="E519" s="73"/>
      <c r="F519" s="73"/>
    </row>
    <row r="520">
      <c r="E520" s="73"/>
      <c r="F520" s="73"/>
    </row>
    <row r="521">
      <c r="E521" s="73"/>
      <c r="F521" s="73"/>
    </row>
    <row r="522">
      <c r="E522" s="73"/>
      <c r="F522" s="73"/>
    </row>
    <row r="523">
      <c r="E523" s="73"/>
      <c r="F523" s="73"/>
    </row>
    <row r="524">
      <c r="E524" s="73"/>
      <c r="F524" s="73"/>
    </row>
    <row r="525">
      <c r="E525" s="73"/>
      <c r="F525" s="73"/>
    </row>
    <row r="526">
      <c r="E526" s="73"/>
      <c r="F526" s="73"/>
    </row>
    <row r="527">
      <c r="E527" s="73"/>
      <c r="F527" s="73"/>
    </row>
    <row r="528">
      <c r="E528" s="73"/>
      <c r="F528" s="73"/>
    </row>
    <row r="529">
      <c r="E529" s="73"/>
      <c r="F529" s="73"/>
    </row>
    <row r="530">
      <c r="E530" s="73"/>
      <c r="F530" s="73"/>
    </row>
    <row r="531">
      <c r="E531" s="73"/>
      <c r="F531" s="73"/>
    </row>
    <row r="532">
      <c r="E532" s="73"/>
      <c r="F532" s="73"/>
    </row>
    <row r="533">
      <c r="E533" s="73"/>
      <c r="F533" s="73"/>
    </row>
    <row r="534">
      <c r="E534" s="73"/>
      <c r="F534" s="73"/>
    </row>
    <row r="535">
      <c r="E535" s="73"/>
      <c r="F535" s="73"/>
    </row>
    <row r="536">
      <c r="E536" s="73"/>
      <c r="F536" s="73"/>
    </row>
    <row r="537">
      <c r="E537" s="73"/>
      <c r="F537" s="73"/>
    </row>
    <row r="538">
      <c r="E538" s="73"/>
      <c r="F538" s="73"/>
    </row>
    <row r="539">
      <c r="E539" s="73"/>
      <c r="F539" s="73"/>
    </row>
    <row r="540">
      <c r="E540" s="73"/>
      <c r="F540" s="73"/>
    </row>
    <row r="541">
      <c r="E541" s="73"/>
      <c r="F541" s="73"/>
    </row>
    <row r="542">
      <c r="E542" s="73"/>
      <c r="F542" s="73"/>
    </row>
    <row r="543">
      <c r="E543" s="73"/>
      <c r="F543" s="73"/>
    </row>
    <row r="544">
      <c r="E544" s="73"/>
      <c r="F544" s="73"/>
    </row>
    <row r="545">
      <c r="E545" s="73"/>
      <c r="F545" s="73"/>
    </row>
    <row r="546">
      <c r="E546" s="73"/>
      <c r="F546" s="73"/>
    </row>
    <row r="547">
      <c r="E547" s="73"/>
      <c r="F547" s="73"/>
    </row>
    <row r="548">
      <c r="E548" s="73"/>
      <c r="F548" s="73"/>
    </row>
    <row r="549">
      <c r="E549" s="73"/>
      <c r="F549" s="73"/>
    </row>
    <row r="550">
      <c r="E550" s="73"/>
      <c r="F550" s="73"/>
    </row>
    <row r="551">
      <c r="E551" s="73"/>
      <c r="F551" s="73"/>
    </row>
    <row r="552">
      <c r="E552" s="73"/>
      <c r="F552" s="73"/>
    </row>
    <row r="553">
      <c r="E553" s="73"/>
      <c r="F553" s="73"/>
    </row>
    <row r="554">
      <c r="E554" s="73"/>
      <c r="F554" s="73"/>
    </row>
    <row r="555">
      <c r="E555" s="73"/>
      <c r="F555" s="73"/>
    </row>
    <row r="556">
      <c r="E556" s="73"/>
      <c r="F556" s="73"/>
    </row>
    <row r="557">
      <c r="E557" s="73"/>
      <c r="F557" s="73"/>
    </row>
    <row r="558">
      <c r="E558" s="73"/>
      <c r="F558" s="73"/>
    </row>
    <row r="559">
      <c r="E559" s="73"/>
      <c r="F559" s="73"/>
    </row>
    <row r="560">
      <c r="E560" s="73"/>
      <c r="F560" s="73"/>
    </row>
    <row r="561">
      <c r="E561" s="73"/>
      <c r="F561" s="73"/>
    </row>
    <row r="562">
      <c r="E562" s="73"/>
      <c r="F562" s="73"/>
    </row>
    <row r="563">
      <c r="E563" s="73"/>
      <c r="F563" s="73"/>
    </row>
    <row r="564">
      <c r="E564" s="73"/>
      <c r="F564" s="73"/>
    </row>
    <row r="565">
      <c r="E565" s="73"/>
      <c r="F565" s="73"/>
    </row>
    <row r="566">
      <c r="E566" s="73"/>
      <c r="F566" s="73"/>
    </row>
    <row r="567">
      <c r="E567" s="73"/>
      <c r="F567" s="73"/>
    </row>
    <row r="568">
      <c r="E568" s="73"/>
      <c r="F568" s="73"/>
    </row>
    <row r="569">
      <c r="E569" s="73"/>
      <c r="F569" s="73"/>
    </row>
    <row r="570">
      <c r="E570" s="73"/>
      <c r="F570" s="73"/>
    </row>
    <row r="571">
      <c r="E571" s="73"/>
      <c r="F571" s="73"/>
    </row>
    <row r="572">
      <c r="E572" s="73"/>
      <c r="F572" s="73"/>
    </row>
    <row r="573">
      <c r="E573" s="73"/>
      <c r="F573" s="73"/>
    </row>
    <row r="574">
      <c r="E574" s="73"/>
      <c r="F574" s="73"/>
    </row>
    <row r="575">
      <c r="E575" s="73"/>
      <c r="F575" s="73"/>
    </row>
    <row r="576">
      <c r="E576" s="73"/>
      <c r="F576" s="73"/>
    </row>
    <row r="577">
      <c r="E577" s="73"/>
      <c r="F577" s="73"/>
    </row>
    <row r="578">
      <c r="E578" s="73"/>
      <c r="F578" s="73"/>
    </row>
    <row r="579">
      <c r="E579" s="73"/>
      <c r="F579" s="73"/>
    </row>
    <row r="580">
      <c r="E580" s="73"/>
      <c r="F580" s="73"/>
    </row>
    <row r="581">
      <c r="E581" s="73"/>
      <c r="F581" s="73"/>
    </row>
    <row r="582">
      <c r="E582" s="73"/>
      <c r="F582" s="73"/>
    </row>
    <row r="583">
      <c r="E583" s="73"/>
      <c r="F583" s="73"/>
    </row>
    <row r="584">
      <c r="E584" s="73"/>
      <c r="F584" s="73"/>
    </row>
    <row r="585">
      <c r="E585" s="73"/>
      <c r="F585" s="73"/>
    </row>
    <row r="586">
      <c r="E586" s="73"/>
      <c r="F586" s="73"/>
    </row>
    <row r="587">
      <c r="E587" s="73"/>
      <c r="F587" s="73"/>
    </row>
    <row r="588">
      <c r="E588" s="73"/>
      <c r="F588" s="73"/>
    </row>
    <row r="589">
      <c r="E589" s="73"/>
      <c r="F589" s="73"/>
    </row>
    <row r="590">
      <c r="E590" s="73"/>
      <c r="F590" s="73"/>
    </row>
    <row r="591">
      <c r="E591" s="73"/>
      <c r="F591" s="73"/>
    </row>
    <row r="592">
      <c r="E592" s="73"/>
      <c r="F592" s="73"/>
    </row>
    <row r="593">
      <c r="E593" s="73"/>
      <c r="F593" s="73"/>
    </row>
    <row r="594">
      <c r="E594" s="73"/>
      <c r="F594" s="73"/>
    </row>
    <row r="595">
      <c r="E595" s="73"/>
      <c r="F595" s="73"/>
    </row>
    <row r="596">
      <c r="E596" s="73"/>
      <c r="F596" s="73"/>
    </row>
    <row r="597">
      <c r="E597" s="73"/>
      <c r="F597" s="73"/>
    </row>
    <row r="598">
      <c r="E598" s="73"/>
      <c r="F598" s="73"/>
    </row>
    <row r="599">
      <c r="E599" s="73"/>
      <c r="F599" s="73"/>
    </row>
    <row r="600">
      <c r="E600" s="73"/>
      <c r="F600" s="73"/>
    </row>
    <row r="601">
      <c r="E601" s="73"/>
      <c r="F601" s="73"/>
    </row>
    <row r="602">
      <c r="E602" s="73"/>
      <c r="F602" s="73"/>
    </row>
    <row r="603">
      <c r="E603" s="73"/>
      <c r="F603" s="73"/>
    </row>
    <row r="604">
      <c r="E604" s="73"/>
      <c r="F604" s="73"/>
    </row>
    <row r="605">
      <c r="E605" s="73"/>
      <c r="F605" s="73"/>
    </row>
    <row r="606">
      <c r="E606" s="73"/>
      <c r="F606" s="73"/>
    </row>
    <row r="607">
      <c r="E607" s="73"/>
      <c r="F607" s="73"/>
    </row>
    <row r="608">
      <c r="E608" s="73"/>
      <c r="F608" s="73"/>
    </row>
    <row r="609">
      <c r="E609" s="73"/>
      <c r="F609" s="73"/>
    </row>
    <row r="610">
      <c r="E610" s="73"/>
      <c r="F610" s="73"/>
    </row>
    <row r="611">
      <c r="E611" s="73"/>
      <c r="F611" s="73"/>
    </row>
    <row r="612">
      <c r="E612" s="73"/>
      <c r="F612" s="73"/>
    </row>
    <row r="613">
      <c r="E613" s="73"/>
      <c r="F613" s="73"/>
    </row>
    <row r="614">
      <c r="E614" s="73"/>
      <c r="F614" s="73"/>
    </row>
    <row r="615">
      <c r="E615" s="73"/>
      <c r="F615" s="73"/>
    </row>
    <row r="616">
      <c r="E616" s="73"/>
      <c r="F616" s="73"/>
    </row>
    <row r="617">
      <c r="E617" s="73"/>
      <c r="F617" s="73"/>
    </row>
    <row r="618">
      <c r="E618" s="73"/>
      <c r="F618" s="73"/>
    </row>
    <row r="619">
      <c r="E619" s="73"/>
      <c r="F619" s="73"/>
    </row>
    <row r="620">
      <c r="E620" s="73"/>
      <c r="F620" s="73"/>
    </row>
    <row r="621">
      <c r="E621" s="73"/>
      <c r="F621" s="73"/>
    </row>
    <row r="622">
      <c r="E622" s="73"/>
      <c r="F622" s="73"/>
    </row>
    <row r="623">
      <c r="E623" s="73"/>
      <c r="F623" s="73"/>
    </row>
    <row r="624">
      <c r="E624" s="73"/>
      <c r="F624" s="73"/>
    </row>
    <row r="625">
      <c r="E625" s="73"/>
      <c r="F625" s="73"/>
    </row>
    <row r="626">
      <c r="E626" s="73"/>
      <c r="F626" s="73"/>
    </row>
    <row r="627">
      <c r="E627" s="73"/>
      <c r="F627" s="73"/>
    </row>
    <row r="628">
      <c r="E628" s="73"/>
      <c r="F628" s="73"/>
    </row>
    <row r="629">
      <c r="E629" s="73"/>
      <c r="F629" s="73"/>
    </row>
    <row r="630">
      <c r="E630" s="73"/>
      <c r="F630" s="73"/>
    </row>
    <row r="631">
      <c r="E631" s="73"/>
      <c r="F631" s="73"/>
    </row>
    <row r="632">
      <c r="E632" s="73"/>
      <c r="F632" s="73"/>
    </row>
    <row r="633">
      <c r="E633" s="73"/>
      <c r="F633" s="73"/>
    </row>
    <row r="634">
      <c r="E634" s="73"/>
      <c r="F634" s="73"/>
    </row>
    <row r="635">
      <c r="E635" s="73"/>
      <c r="F635" s="73"/>
    </row>
    <row r="636">
      <c r="E636" s="73"/>
      <c r="F636" s="73"/>
    </row>
    <row r="637">
      <c r="E637" s="73"/>
      <c r="F637" s="73"/>
    </row>
    <row r="638">
      <c r="E638" s="73"/>
      <c r="F638" s="73"/>
    </row>
    <row r="639">
      <c r="E639" s="73"/>
      <c r="F639" s="73"/>
    </row>
    <row r="640">
      <c r="E640" s="73"/>
      <c r="F640" s="73"/>
    </row>
    <row r="641">
      <c r="E641" s="73"/>
      <c r="F641" s="73"/>
    </row>
    <row r="642">
      <c r="E642" s="73"/>
      <c r="F642" s="73"/>
    </row>
    <row r="643">
      <c r="E643" s="73"/>
      <c r="F643" s="73"/>
    </row>
    <row r="644">
      <c r="E644" s="73"/>
      <c r="F644" s="73"/>
    </row>
    <row r="645">
      <c r="E645" s="73"/>
      <c r="F645" s="73"/>
    </row>
    <row r="646">
      <c r="E646" s="73"/>
      <c r="F646" s="73"/>
    </row>
    <row r="647">
      <c r="E647" s="73"/>
      <c r="F647" s="73"/>
    </row>
    <row r="648">
      <c r="E648" s="73"/>
      <c r="F648" s="73"/>
    </row>
    <row r="649">
      <c r="E649" s="73"/>
      <c r="F649" s="73"/>
    </row>
    <row r="650">
      <c r="E650" s="73"/>
      <c r="F650" s="73"/>
    </row>
    <row r="651">
      <c r="E651" s="73"/>
      <c r="F651" s="73"/>
    </row>
    <row r="652">
      <c r="E652" s="73"/>
      <c r="F652" s="73"/>
    </row>
    <row r="653">
      <c r="E653" s="73"/>
      <c r="F653" s="73"/>
    </row>
    <row r="654">
      <c r="E654" s="73"/>
      <c r="F654" s="73"/>
    </row>
    <row r="655">
      <c r="E655" s="73"/>
      <c r="F655" s="73"/>
    </row>
    <row r="656">
      <c r="E656" s="73"/>
      <c r="F656" s="73"/>
    </row>
    <row r="657">
      <c r="E657" s="73"/>
      <c r="F657" s="73"/>
    </row>
    <row r="658">
      <c r="E658" s="73"/>
      <c r="F658" s="73"/>
    </row>
    <row r="659">
      <c r="E659" s="73"/>
      <c r="F659" s="73"/>
    </row>
    <row r="660">
      <c r="E660" s="73"/>
      <c r="F660" s="73"/>
    </row>
    <row r="661">
      <c r="E661" s="73"/>
      <c r="F661" s="73"/>
    </row>
    <row r="662">
      <c r="E662" s="73"/>
      <c r="F662" s="73"/>
    </row>
    <row r="663">
      <c r="E663" s="73"/>
      <c r="F663" s="73"/>
    </row>
    <row r="664">
      <c r="E664" s="73"/>
      <c r="F664" s="73"/>
    </row>
    <row r="665">
      <c r="E665" s="73"/>
      <c r="F665" s="73"/>
    </row>
    <row r="666">
      <c r="E666" s="73"/>
      <c r="F666" s="73"/>
    </row>
    <row r="667">
      <c r="E667" s="73"/>
      <c r="F667" s="73"/>
    </row>
    <row r="668">
      <c r="E668" s="73"/>
      <c r="F668" s="73"/>
    </row>
    <row r="669">
      <c r="E669" s="73"/>
      <c r="F669" s="73"/>
    </row>
    <row r="670">
      <c r="E670" s="73"/>
      <c r="F670" s="73"/>
    </row>
    <row r="671">
      <c r="E671" s="73"/>
      <c r="F671" s="73"/>
    </row>
    <row r="672">
      <c r="E672" s="73"/>
      <c r="F672" s="73"/>
    </row>
    <row r="673">
      <c r="E673" s="73"/>
      <c r="F673" s="73"/>
    </row>
    <row r="674">
      <c r="E674" s="73"/>
      <c r="F674" s="73"/>
    </row>
    <row r="675">
      <c r="E675" s="73"/>
      <c r="F675" s="73"/>
    </row>
    <row r="676">
      <c r="E676" s="73"/>
      <c r="F676" s="73"/>
    </row>
    <row r="677">
      <c r="E677" s="73"/>
      <c r="F677" s="73"/>
    </row>
    <row r="678">
      <c r="E678" s="73"/>
      <c r="F678" s="73"/>
    </row>
    <row r="679">
      <c r="E679" s="73"/>
      <c r="F679" s="73"/>
    </row>
    <row r="680">
      <c r="E680" s="73"/>
      <c r="F680" s="73"/>
    </row>
    <row r="681">
      <c r="E681" s="73"/>
      <c r="F681" s="73"/>
    </row>
    <row r="682">
      <c r="E682" s="73"/>
      <c r="F682" s="73"/>
    </row>
    <row r="683">
      <c r="E683" s="73"/>
      <c r="F683" s="73"/>
    </row>
    <row r="684">
      <c r="E684" s="73"/>
      <c r="F684" s="73"/>
    </row>
    <row r="685">
      <c r="E685" s="73"/>
      <c r="F685" s="73"/>
    </row>
    <row r="686">
      <c r="E686" s="73"/>
      <c r="F686" s="73"/>
    </row>
    <row r="687">
      <c r="E687" s="73"/>
      <c r="F687" s="73"/>
    </row>
    <row r="688">
      <c r="E688" s="73"/>
      <c r="F688" s="73"/>
    </row>
    <row r="689">
      <c r="E689" s="73"/>
      <c r="F689" s="73"/>
    </row>
    <row r="690">
      <c r="E690" s="73"/>
      <c r="F690" s="73"/>
    </row>
    <row r="691">
      <c r="E691" s="73"/>
      <c r="F691" s="73"/>
    </row>
    <row r="692">
      <c r="E692" s="73"/>
      <c r="F692" s="73"/>
    </row>
    <row r="693">
      <c r="E693" s="73"/>
      <c r="F693" s="73"/>
    </row>
    <row r="694">
      <c r="E694" s="73"/>
      <c r="F694" s="73"/>
    </row>
    <row r="695">
      <c r="E695" s="73"/>
      <c r="F695" s="73"/>
    </row>
    <row r="696">
      <c r="E696" s="73"/>
      <c r="F696" s="73"/>
    </row>
    <row r="697">
      <c r="E697" s="73"/>
      <c r="F697" s="73"/>
    </row>
    <row r="698">
      <c r="E698" s="73"/>
      <c r="F698" s="73"/>
    </row>
    <row r="699">
      <c r="E699" s="73"/>
      <c r="F699" s="73"/>
    </row>
    <row r="700">
      <c r="E700" s="73"/>
      <c r="F700" s="73"/>
    </row>
    <row r="701">
      <c r="E701" s="73"/>
      <c r="F701" s="73"/>
    </row>
    <row r="702">
      <c r="E702" s="73"/>
      <c r="F702" s="73"/>
    </row>
    <row r="703">
      <c r="E703" s="73"/>
      <c r="F703" s="73"/>
    </row>
    <row r="704">
      <c r="E704" s="73"/>
      <c r="F704" s="73"/>
    </row>
    <row r="705">
      <c r="E705" s="73"/>
      <c r="F705" s="73"/>
    </row>
    <row r="706">
      <c r="E706" s="73"/>
      <c r="F706" s="73"/>
    </row>
    <row r="707">
      <c r="E707" s="73"/>
      <c r="F707" s="73"/>
    </row>
    <row r="708">
      <c r="E708" s="73"/>
      <c r="F708" s="73"/>
    </row>
    <row r="709">
      <c r="E709" s="73"/>
      <c r="F709" s="73"/>
    </row>
    <row r="710">
      <c r="E710" s="73"/>
      <c r="F710" s="73"/>
    </row>
    <row r="711">
      <c r="E711" s="73"/>
      <c r="F711" s="73"/>
    </row>
    <row r="712">
      <c r="E712" s="73"/>
      <c r="F712" s="73"/>
    </row>
    <row r="713">
      <c r="E713" s="73"/>
      <c r="F713" s="73"/>
    </row>
    <row r="714">
      <c r="E714" s="73"/>
      <c r="F714" s="73"/>
    </row>
    <row r="715">
      <c r="E715" s="73"/>
      <c r="F715" s="73"/>
    </row>
    <row r="716">
      <c r="E716" s="73"/>
      <c r="F716" s="73"/>
    </row>
    <row r="717">
      <c r="E717" s="73"/>
      <c r="F717" s="73"/>
    </row>
    <row r="718">
      <c r="E718" s="73"/>
      <c r="F718" s="73"/>
    </row>
    <row r="719">
      <c r="E719" s="73"/>
      <c r="F719" s="73"/>
    </row>
    <row r="720">
      <c r="E720" s="73"/>
      <c r="F720" s="73"/>
    </row>
    <row r="721">
      <c r="E721" s="73"/>
      <c r="F721" s="73"/>
    </row>
    <row r="722">
      <c r="E722" s="73"/>
      <c r="F722" s="73"/>
    </row>
    <row r="723">
      <c r="E723" s="73"/>
      <c r="F723" s="73"/>
    </row>
    <row r="724">
      <c r="E724" s="73"/>
      <c r="F724" s="73"/>
    </row>
    <row r="725">
      <c r="E725" s="73"/>
      <c r="F725" s="73"/>
    </row>
    <row r="726">
      <c r="E726" s="73"/>
      <c r="F726" s="73"/>
    </row>
    <row r="727">
      <c r="E727" s="73"/>
      <c r="F727" s="73"/>
    </row>
    <row r="728">
      <c r="E728" s="73"/>
      <c r="F728" s="73"/>
    </row>
    <row r="729">
      <c r="E729" s="73"/>
      <c r="F729" s="73"/>
    </row>
    <row r="730">
      <c r="E730" s="73"/>
      <c r="F730" s="73"/>
    </row>
    <row r="731">
      <c r="E731" s="73"/>
      <c r="F731" s="73"/>
    </row>
    <row r="732">
      <c r="E732" s="73"/>
      <c r="F732" s="73"/>
    </row>
    <row r="733">
      <c r="E733" s="73"/>
      <c r="F733" s="73"/>
    </row>
    <row r="734">
      <c r="E734" s="73"/>
      <c r="F734" s="73"/>
    </row>
    <row r="735">
      <c r="E735" s="73"/>
      <c r="F735" s="73"/>
    </row>
    <row r="736">
      <c r="E736" s="73"/>
      <c r="F736" s="73"/>
    </row>
    <row r="737">
      <c r="E737" s="73"/>
      <c r="F737" s="73"/>
    </row>
    <row r="738">
      <c r="E738" s="73"/>
      <c r="F738" s="73"/>
    </row>
    <row r="739">
      <c r="E739" s="73"/>
      <c r="F739" s="73"/>
    </row>
    <row r="740">
      <c r="E740" s="73"/>
      <c r="F740" s="73"/>
    </row>
    <row r="741">
      <c r="E741" s="73"/>
      <c r="F741" s="73"/>
    </row>
    <row r="742">
      <c r="E742" s="73"/>
      <c r="F742" s="73"/>
    </row>
    <row r="743">
      <c r="E743" s="73"/>
      <c r="F743" s="73"/>
    </row>
    <row r="744">
      <c r="E744" s="73"/>
      <c r="F744" s="73"/>
    </row>
    <row r="745">
      <c r="E745" s="73"/>
      <c r="F745" s="73"/>
    </row>
    <row r="746">
      <c r="E746" s="73"/>
      <c r="F746" s="73"/>
    </row>
    <row r="747">
      <c r="E747" s="73"/>
      <c r="F747" s="73"/>
    </row>
    <row r="748">
      <c r="E748" s="73"/>
      <c r="F748" s="73"/>
    </row>
    <row r="749">
      <c r="E749" s="73"/>
      <c r="F749" s="73"/>
    </row>
    <row r="750">
      <c r="E750" s="73"/>
      <c r="F750" s="73"/>
    </row>
    <row r="751">
      <c r="E751" s="73"/>
      <c r="F751" s="73"/>
    </row>
    <row r="752">
      <c r="E752" s="73"/>
      <c r="F752" s="73"/>
    </row>
    <row r="753">
      <c r="E753" s="73"/>
      <c r="F753" s="73"/>
    </row>
    <row r="754">
      <c r="E754" s="73"/>
      <c r="F754" s="73"/>
    </row>
    <row r="755">
      <c r="E755" s="73"/>
      <c r="F755" s="73"/>
    </row>
    <row r="756">
      <c r="E756" s="73"/>
      <c r="F756" s="73"/>
    </row>
    <row r="757">
      <c r="E757" s="73"/>
      <c r="F757" s="73"/>
    </row>
    <row r="758">
      <c r="E758" s="73"/>
      <c r="F758" s="73"/>
    </row>
    <row r="759">
      <c r="E759" s="73"/>
      <c r="F759" s="73"/>
    </row>
    <row r="760">
      <c r="E760" s="73"/>
      <c r="F760" s="73"/>
    </row>
    <row r="761">
      <c r="E761" s="73"/>
      <c r="F761" s="73"/>
    </row>
    <row r="762">
      <c r="E762" s="73"/>
      <c r="F762" s="73"/>
    </row>
    <row r="763">
      <c r="E763" s="73"/>
      <c r="F763" s="73"/>
    </row>
    <row r="764">
      <c r="E764" s="73"/>
      <c r="F764" s="73"/>
    </row>
    <row r="765">
      <c r="E765" s="73"/>
      <c r="F765" s="73"/>
    </row>
    <row r="766">
      <c r="E766" s="73"/>
      <c r="F766" s="73"/>
    </row>
    <row r="767">
      <c r="E767" s="73"/>
      <c r="F767" s="73"/>
    </row>
    <row r="768">
      <c r="E768" s="73"/>
      <c r="F768" s="73"/>
    </row>
    <row r="769">
      <c r="E769" s="73"/>
      <c r="F769" s="73"/>
    </row>
    <row r="770">
      <c r="E770" s="73"/>
      <c r="F770" s="73"/>
    </row>
    <row r="771">
      <c r="E771" s="73"/>
      <c r="F771" s="73"/>
    </row>
    <row r="772">
      <c r="E772" s="73"/>
      <c r="F772" s="73"/>
    </row>
    <row r="773">
      <c r="E773" s="73"/>
      <c r="F773" s="73"/>
    </row>
    <row r="774">
      <c r="E774" s="73"/>
      <c r="F774" s="73"/>
    </row>
    <row r="775">
      <c r="E775" s="73"/>
      <c r="F775" s="73"/>
    </row>
    <row r="776">
      <c r="E776" s="73"/>
      <c r="F776" s="73"/>
    </row>
    <row r="777">
      <c r="E777" s="73"/>
      <c r="F777" s="73"/>
    </row>
    <row r="778">
      <c r="E778" s="73"/>
      <c r="F778" s="73"/>
    </row>
    <row r="779">
      <c r="E779" s="73"/>
      <c r="F779" s="73"/>
    </row>
    <row r="780">
      <c r="E780" s="73"/>
      <c r="F780" s="73"/>
    </row>
    <row r="781">
      <c r="E781" s="73"/>
      <c r="F781" s="73"/>
    </row>
    <row r="782">
      <c r="E782" s="73"/>
      <c r="F782" s="73"/>
    </row>
    <row r="783">
      <c r="E783" s="73"/>
      <c r="F783" s="73"/>
    </row>
    <row r="784">
      <c r="E784" s="73"/>
      <c r="F784" s="73"/>
    </row>
    <row r="785">
      <c r="E785" s="73"/>
      <c r="F785" s="73"/>
    </row>
    <row r="786">
      <c r="E786" s="73"/>
      <c r="F786" s="73"/>
    </row>
    <row r="787">
      <c r="E787" s="73"/>
      <c r="F787" s="73"/>
    </row>
    <row r="788">
      <c r="E788" s="73"/>
      <c r="F788" s="73"/>
    </row>
    <row r="789">
      <c r="E789" s="73"/>
      <c r="F789" s="73"/>
    </row>
    <row r="790">
      <c r="E790" s="73"/>
      <c r="F790" s="73"/>
    </row>
    <row r="791">
      <c r="E791" s="73"/>
      <c r="F791" s="73"/>
    </row>
    <row r="792">
      <c r="E792" s="73"/>
      <c r="F792" s="73"/>
    </row>
    <row r="793">
      <c r="E793" s="73"/>
      <c r="F793" s="73"/>
    </row>
    <row r="794">
      <c r="E794" s="73"/>
      <c r="F794" s="73"/>
    </row>
    <row r="795">
      <c r="E795" s="73"/>
      <c r="F795" s="73"/>
    </row>
    <row r="796">
      <c r="E796" s="73"/>
      <c r="F796" s="73"/>
    </row>
    <row r="797">
      <c r="E797" s="73"/>
      <c r="F797" s="73"/>
    </row>
    <row r="798">
      <c r="E798" s="73"/>
      <c r="F798" s="73"/>
    </row>
    <row r="799">
      <c r="E799" s="73"/>
      <c r="F799" s="73"/>
    </row>
    <row r="800">
      <c r="E800" s="73"/>
      <c r="F800" s="73"/>
    </row>
    <row r="801">
      <c r="E801" s="73"/>
      <c r="F801" s="73"/>
    </row>
    <row r="802">
      <c r="E802" s="73"/>
      <c r="F802" s="73"/>
    </row>
    <row r="803">
      <c r="E803" s="73"/>
      <c r="F803" s="73"/>
    </row>
    <row r="804">
      <c r="E804" s="73"/>
      <c r="F804" s="73"/>
    </row>
    <row r="805">
      <c r="E805" s="73"/>
      <c r="F805" s="73"/>
    </row>
    <row r="806">
      <c r="E806" s="73"/>
      <c r="F806" s="73"/>
    </row>
    <row r="807">
      <c r="E807" s="73"/>
      <c r="F807" s="73"/>
    </row>
    <row r="808">
      <c r="E808" s="73"/>
      <c r="F808" s="73"/>
    </row>
    <row r="809">
      <c r="E809" s="73"/>
      <c r="F809" s="73"/>
    </row>
    <row r="810">
      <c r="E810" s="73"/>
      <c r="F810" s="73"/>
    </row>
    <row r="811">
      <c r="E811" s="73"/>
      <c r="F811" s="73"/>
    </row>
    <row r="812">
      <c r="E812" s="73"/>
      <c r="F812" s="73"/>
    </row>
    <row r="813">
      <c r="E813" s="73"/>
      <c r="F813" s="73"/>
    </row>
    <row r="814">
      <c r="E814" s="73"/>
      <c r="F814" s="73"/>
    </row>
    <row r="815">
      <c r="E815" s="73"/>
      <c r="F815" s="73"/>
    </row>
    <row r="816">
      <c r="E816" s="73"/>
      <c r="F816" s="73"/>
    </row>
    <row r="817">
      <c r="E817" s="73"/>
      <c r="F817" s="73"/>
    </row>
    <row r="818">
      <c r="E818" s="73"/>
      <c r="F818" s="73"/>
    </row>
    <row r="819">
      <c r="E819" s="73"/>
      <c r="F819" s="73"/>
    </row>
    <row r="820">
      <c r="E820" s="73"/>
      <c r="F820" s="73"/>
    </row>
    <row r="821">
      <c r="E821" s="73"/>
      <c r="F821" s="73"/>
    </row>
    <row r="822">
      <c r="E822" s="73"/>
      <c r="F822" s="73"/>
    </row>
    <row r="823">
      <c r="E823" s="73"/>
      <c r="F823" s="73"/>
    </row>
    <row r="824">
      <c r="E824" s="73"/>
      <c r="F824" s="73"/>
    </row>
    <row r="825">
      <c r="E825" s="73"/>
      <c r="F825" s="73"/>
    </row>
    <row r="826">
      <c r="E826" s="73"/>
      <c r="F826" s="73"/>
    </row>
    <row r="827">
      <c r="E827" s="73"/>
      <c r="F827" s="73"/>
    </row>
    <row r="828">
      <c r="E828" s="73"/>
      <c r="F828" s="73"/>
    </row>
    <row r="829">
      <c r="E829" s="73"/>
      <c r="F829" s="73"/>
    </row>
    <row r="830">
      <c r="E830" s="73"/>
      <c r="F830" s="73"/>
    </row>
    <row r="831">
      <c r="E831" s="73"/>
      <c r="F831" s="73"/>
    </row>
    <row r="832">
      <c r="E832" s="73"/>
      <c r="F832" s="73"/>
    </row>
    <row r="833">
      <c r="E833" s="73"/>
      <c r="F833" s="73"/>
    </row>
    <row r="834">
      <c r="E834" s="73"/>
      <c r="F834" s="73"/>
    </row>
    <row r="835">
      <c r="E835" s="73"/>
      <c r="F835" s="73"/>
    </row>
    <row r="836">
      <c r="E836" s="73"/>
      <c r="F836" s="73"/>
    </row>
    <row r="837">
      <c r="E837" s="73"/>
      <c r="F837" s="73"/>
    </row>
    <row r="838">
      <c r="E838" s="73"/>
      <c r="F838" s="73"/>
    </row>
    <row r="839">
      <c r="E839" s="73"/>
      <c r="F839" s="73"/>
    </row>
    <row r="840">
      <c r="E840" s="73"/>
      <c r="F840" s="73"/>
    </row>
    <row r="841">
      <c r="E841" s="73"/>
      <c r="F841" s="73"/>
    </row>
    <row r="842">
      <c r="E842" s="73"/>
      <c r="F842" s="73"/>
    </row>
    <row r="843">
      <c r="E843" s="73"/>
      <c r="F843" s="73"/>
    </row>
    <row r="844">
      <c r="E844" s="73"/>
      <c r="F844" s="73"/>
    </row>
    <row r="845">
      <c r="E845" s="73"/>
      <c r="F845" s="73"/>
    </row>
    <row r="846">
      <c r="E846" s="73"/>
      <c r="F846" s="73"/>
    </row>
    <row r="847">
      <c r="E847" s="73"/>
      <c r="F847" s="73"/>
    </row>
    <row r="848">
      <c r="E848" s="73"/>
      <c r="F848" s="73"/>
    </row>
    <row r="849">
      <c r="E849" s="73"/>
      <c r="F849" s="73"/>
    </row>
    <row r="850">
      <c r="E850" s="73"/>
      <c r="F850" s="73"/>
    </row>
    <row r="851">
      <c r="E851" s="73"/>
      <c r="F851" s="73"/>
    </row>
    <row r="852">
      <c r="E852" s="73"/>
      <c r="F852" s="73"/>
    </row>
    <row r="853">
      <c r="E853" s="73"/>
      <c r="F853" s="73"/>
    </row>
    <row r="854">
      <c r="E854" s="73"/>
      <c r="F854" s="73"/>
    </row>
    <row r="855">
      <c r="E855" s="73"/>
      <c r="F855" s="73"/>
    </row>
    <row r="856">
      <c r="E856" s="73"/>
      <c r="F856" s="73"/>
    </row>
    <row r="857">
      <c r="E857" s="73"/>
      <c r="F857" s="73"/>
    </row>
    <row r="858">
      <c r="E858" s="73"/>
      <c r="F858" s="73"/>
    </row>
    <row r="859">
      <c r="E859" s="73"/>
      <c r="F859" s="73"/>
    </row>
    <row r="860">
      <c r="E860" s="73"/>
      <c r="F860" s="73"/>
    </row>
    <row r="861">
      <c r="E861" s="73"/>
      <c r="F861" s="73"/>
    </row>
    <row r="862">
      <c r="E862" s="73"/>
      <c r="F862" s="73"/>
    </row>
    <row r="863">
      <c r="E863" s="73"/>
      <c r="F863" s="73"/>
    </row>
    <row r="864">
      <c r="E864" s="73"/>
      <c r="F864" s="73"/>
    </row>
    <row r="865">
      <c r="E865" s="73"/>
      <c r="F865" s="73"/>
    </row>
    <row r="866">
      <c r="E866" s="73"/>
      <c r="F866" s="73"/>
    </row>
    <row r="867">
      <c r="E867" s="73"/>
      <c r="F867" s="73"/>
    </row>
    <row r="868">
      <c r="E868" s="73"/>
      <c r="F868" s="73"/>
    </row>
    <row r="869">
      <c r="E869" s="73"/>
      <c r="F869" s="73"/>
    </row>
    <row r="870">
      <c r="E870" s="73"/>
      <c r="F870" s="73"/>
    </row>
    <row r="871">
      <c r="E871" s="73"/>
      <c r="F871" s="73"/>
    </row>
    <row r="872">
      <c r="E872" s="73"/>
      <c r="F872" s="73"/>
    </row>
    <row r="873">
      <c r="E873" s="73"/>
      <c r="F873" s="73"/>
    </row>
    <row r="874">
      <c r="E874" s="73"/>
      <c r="F874" s="73"/>
    </row>
    <row r="875">
      <c r="E875" s="73"/>
      <c r="F875" s="73"/>
    </row>
    <row r="876">
      <c r="E876" s="73"/>
      <c r="F876" s="73"/>
    </row>
    <row r="877">
      <c r="E877" s="73"/>
      <c r="F877" s="73"/>
    </row>
    <row r="878">
      <c r="E878" s="73"/>
      <c r="F878" s="73"/>
    </row>
    <row r="879">
      <c r="E879" s="73"/>
      <c r="F879" s="73"/>
    </row>
    <row r="880">
      <c r="E880" s="73"/>
      <c r="F880" s="73"/>
    </row>
    <row r="881">
      <c r="E881" s="73"/>
      <c r="F881" s="73"/>
    </row>
    <row r="882">
      <c r="E882" s="73"/>
      <c r="F882" s="73"/>
    </row>
    <row r="883">
      <c r="E883" s="73"/>
      <c r="F883" s="73"/>
    </row>
    <row r="884">
      <c r="E884" s="73"/>
      <c r="F884" s="73"/>
    </row>
    <row r="885">
      <c r="E885" s="73"/>
      <c r="F885" s="73"/>
    </row>
    <row r="886">
      <c r="E886" s="73"/>
      <c r="F886" s="73"/>
    </row>
    <row r="887">
      <c r="E887" s="73"/>
      <c r="F887" s="73"/>
    </row>
    <row r="888">
      <c r="E888" s="73"/>
      <c r="F888" s="73"/>
    </row>
    <row r="889">
      <c r="E889" s="73"/>
      <c r="F889" s="73"/>
    </row>
    <row r="890">
      <c r="E890" s="73"/>
      <c r="F890" s="73"/>
    </row>
    <row r="891">
      <c r="E891" s="73"/>
      <c r="F891" s="73"/>
    </row>
    <row r="892">
      <c r="E892" s="73"/>
      <c r="F892" s="73"/>
    </row>
    <row r="893">
      <c r="E893" s="73"/>
      <c r="F893" s="73"/>
    </row>
    <row r="894">
      <c r="E894" s="73"/>
      <c r="F894" s="73"/>
    </row>
    <row r="895">
      <c r="E895" s="73"/>
      <c r="F895" s="73"/>
    </row>
    <row r="896">
      <c r="E896" s="73"/>
      <c r="F896" s="73"/>
    </row>
    <row r="897">
      <c r="E897" s="73"/>
      <c r="F897" s="73"/>
    </row>
    <row r="898">
      <c r="E898" s="73"/>
      <c r="F898" s="73"/>
    </row>
    <row r="899">
      <c r="E899" s="73"/>
      <c r="F899" s="73"/>
    </row>
    <row r="900">
      <c r="E900" s="73"/>
      <c r="F900" s="73"/>
    </row>
    <row r="901">
      <c r="E901" s="73"/>
      <c r="F901" s="73"/>
    </row>
    <row r="902">
      <c r="E902" s="73"/>
      <c r="F902" s="73"/>
    </row>
    <row r="903">
      <c r="E903" s="73"/>
      <c r="F903" s="73"/>
    </row>
    <row r="904">
      <c r="E904" s="73"/>
      <c r="F904" s="73"/>
    </row>
    <row r="905">
      <c r="E905" s="73"/>
      <c r="F905" s="73"/>
    </row>
    <row r="906">
      <c r="E906" s="73"/>
      <c r="F906" s="73"/>
    </row>
    <row r="907">
      <c r="E907" s="73"/>
      <c r="F907" s="73"/>
    </row>
    <row r="908">
      <c r="E908" s="73"/>
      <c r="F908" s="73"/>
    </row>
    <row r="909">
      <c r="E909" s="73"/>
      <c r="F909" s="73"/>
    </row>
    <row r="910">
      <c r="E910" s="73"/>
      <c r="F910" s="73"/>
    </row>
    <row r="911">
      <c r="E911" s="73"/>
      <c r="F911" s="73"/>
    </row>
    <row r="912">
      <c r="E912" s="73"/>
      <c r="F912" s="73"/>
    </row>
    <row r="913">
      <c r="E913" s="73"/>
      <c r="F913" s="73"/>
    </row>
    <row r="914">
      <c r="E914" s="73"/>
      <c r="F914" s="73"/>
    </row>
    <row r="915">
      <c r="E915" s="73"/>
      <c r="F915" s="73"/>
    </row>
    <row r="916">
      <c r="E916" s="73"/>
      <c r="F916" s="73"/>
    </row>
    <row r="917">
      <c r="E917" s="73"/>
      <c r="F917" s="73"/>
    </row>
    <row r="918">
      <c r="E918" s="73"/>
      <c r="F918" s="73"/>
    </row>
    <row r="919">
      <c r="E919" s="73"/>
      <c r="F919" s="73"/>
    </row>
    <row r="920">
      <c r="E920" s="73"/>
      <c r="F920" s="73"/>
    </row>
    <row r="921">
      <c r="E921" s="73"/>
      <c r="F921" s="73"/>
    </row>
    <row r="922">
      <c r="E922" s="73"/>
      <c r="F922" s="73"/>
    </row>
    <row r="923">
      <c r="E923" s="73"/>
      <c r="F923" s="73"/>
    </row>
    <row r="924">
      <c r="E924" s="73"/>
      <c r="F924" s="73"/>
    </row>
    <row r="925">
      <c r="E925" s="73"/>
      <c r="F925" s="73"/>
    </row>
    <row r="926">
      <c r="E926" s="73"/>
      <c r="F926" s="73"/>
    </row>
    <row r="927">
      <c r="E927" s="73"/>
      <c r="F927" s="73"/>
    </row>
    <row r="928">
      <c r="E928" s="73"/>
      <c r="F928" s="73"/>
    </row>
    <row r="929">
      <c r="E929" s="73"/>
      <c r="F929" s="73"/>
    </row>
    <row r="930">
      <c r="E930" s="73"/>
      <c r="F930" s="73"/>
    </row>
    <row r="931">
      <c r="E931" s="73"/>
      <c r="F931" s="73"/>
    </row>
    <row r="932">
      <c r="E932" s="73"/>
      <c r="F932" s="73"/>
    </row>
    <row r="933">
      <c r="E933" s="73"/>
      <c r="F933" s="73"/>
    </row>
    <row r="934">
      <c r="E934" s="73"/>
      <c r="F934" s="73"/>
    </row>
    <row r="935">
      <c r="E935" s="73"/>
      <c r="F935" s="73"/>
    </row>
    <row r="936">
      <c r="E936" s="73"/>
      <c r="F936" s="73"/>
    </row>
    <row r="937">
      <c r="E937" s="73"/>
      <c r="F937" s="73"/>
    </row>
    <row r="938">
      <c r="E938" s="73"/>
      <c r="F938" s="73"/>
    </row>
    <row r="939">
      <c r="E939" s="73"/>
      <c r="F939" s="73"/>
    </row>
    <row r="940">
      <c r="E940" s="73"/>
      <c r="F940" s="73"/>
    </row>
    <row r="941">
      <c r="E941" s="73"/>
      <c r="F941" s="73"/>
    </row>
    <row r="942">
      <c r="E942" s="73"/>
      <c r="F942" s="73"/>
    </row>
    <row r="943">
      <c r="E943" s="73"/>
      <c r="F943" s="73"/>
    </row>
    <row r="944">
      <c r="E944" s="73"/>
      <c r="F944" s="73"/>
    </row>
    <row r="945">
      <c r="E945" s="73"/>
      <c r="F945" s="73"/>
    </row>
    <row r="946">
      <c r="E946" s="73"/>
      <c r="F946" s="73"/>
    </row>
    <row r="947">
      <c r="E947" s="73"/>
      <c r="F947" s="73"/>
    </row>
    <row r="948">
      <c r="E948" s="73"/>
      <c r="F948" s="73"/>
    </row>
    <row r="949">
      <c r="E949" s="73"/>
      <c r="F949" s="73"/>
    </row>
    <row r="950">
      <c r="E950" s="73"/>
      <c r="F950" s="73"/>
    </row>
    <row r="951">
      <c r="E951" s="73"/>
      <c r="F951" s="73"/>
    </row>
    <row r="952">
      <c r="E952" s="73"/>
      <c r="F952" s="73"/>
    </row>
    <row r="953">
      <c r="E953" s="73"/>
      <c r="F953" s="73"/>
    </row>
    <row r="954">
      <c r="E954" s="73"/>
      <c r="F954" s="73"/>
    </row>
    <row r="955">
      <c r="E955" s="73"/>
      <c r="F955" s="73"/>
    </row>
    <row r="956">
      <c r="E956" s="73"/>
      <c r="F956" s="73"/>
    </row>
    <row r="957">
      <c r="E957" s="73"/>
      <c r="F957" s="73"/>
    </row>
    <row r="958">
      <c r="E958" s="73"/>
      <c r="F958" s="73"/>
    </row>
    <row r="959">
      <c r="E959" s="73"/>
      <c r="F959" s="73"/>
    </row>
    <row r="960">
      <c r="E960" s="73"/>
      <c r="F960" s="73"/>
    </row>
    <row r="961">
      <c r="E961" s="73"/>
      <c r="F961" s="73"/>
    </row>
    <row r="962">
      <c r="E962" s="73"/>
      <c r="F962" s="73"/>
    </row>
    <row r="963">
      <c r="E963" s="73"/>
      <c r="F963" s="73"/>
    </row>
    <row r="964">
      <c r="E964" s="73"/>
      <c r="F964" s="73"/>
    </row>
    <row r="965">
      <c r="E965" s="73"/>
      <c r="F965" s="73"/>
    </row>
    <row r="966">
      <c r="E966" s="73"/>
      <c r="F966" s="73"/>
    </row>
    <row r="967">
      <c r="E967" s="73"/>
      <c r="F967" s="73"/>
    </row>
    <row r="968">
      <c r="E968" s="73"/>
      <c r="F968" s="73"/>
    </row>
    <row r="969">
      <c r="E969" s="73"/>
      <c r="F969" s="73"/>
    </row>
    <row r="970">
      <c r="E970" s="73"/>
      <c r="F970" s="73"/>
    </row>
    <row r="971">
      <c r="E971" s="73"/>
      <c r="F971" s="73"/>
    </row>
    <row r="972">
      <c r="E972" s="73"/>
      <c r="F972" s="73"/>
    </row>
    <row r="973">
      <c r="E973" s="73"/>
      <c r="F973" s="73"/>
    </row>
    <row r="974">
      <c r="E974" s="73"/>
      <c r="F974" s="73"/>
    </row>
    <row r="975">
      <c r="E975" s="73"/>
      <c r="F975" s="73"/>
    </row>
    <row r="976">
      <c r="E976" s="73"/>
      <c r="F976" s="73"/>
    </row>
    <row r="977">
      <c r="E977" s="73"/>
      <c r="F977" s="73"/>
    </row>
    <row r="978">
      <c r="E978" s="73"/>
      <c r="F978" s="73"/>
    </row>
    <row r="979">
      <c r="E979" s="73"/>
      <c r="F979" s="73"/>
    </row>
    <row r="980">
      <c r="E980" s="73"/>
      <c r="F980" s="73"/>
    </row>
    <row r="981">
      <c r="E981" s="73"/>
      <c r="F981" s="73"/>
    </row>
    <row r="982">
      <c r="E982" s="73"/>
      <c r="F982" s="73"/>
    </row>
    <row r="983">
      <c r="E983" s="73"/>
      <c r="F983" s="73"/>
    </row>
    <row r="984">
      <c r="E984" s="73"/>
      <c r="F984" s="73"/>
    </row>
    <row r="985">
      <c r="E985" s="73"/>
      <c r="F985" s="73"/>
    </row>
    <row r="986">
      <c r="E986" s="73"/>
      <c r="F986" s="73"/>
    </row>
  </sheetData>
  <mergeCells count="271">
    <mergeCell ref="Q10:R10"/>
    <mergeCell ref="S10:T10"/>
    <mergeCell ref="U10:V10"/>
    <mergeCell ref="W10:X10"/>
    <mergeCell ref="Y10:Z10"/>
    <mergeCell ref="AA10:AB10"/>
    <mergeCell ref="AC10:AD10"/>
    <mergeCell ref="A10:B10"/>
    <mergeCell ref="C10:D10"/>
    <mergeCell ref="G10:H10"/>
    <mergeCell ref="I10:J10"/>
    <mergeCell ref="K10:L10"/>
    <mergeCell ref="M10:N10"/>
    <mergeCell ref="O10:P10"/>
    <mergeCell ref="Q11:R11"/>
    <mergeCell ref="S11:T11"/>
    <mergeCell ref="U11:V11"/>
    <mergeCell ref="W11:X11"/>
    <mergeCell ref="Y11:Z11"/>
    <mergeCell ref="AA11:AB11"/>
    <mergeCell ref="AC11:AD11"/>
    <mergeCell ref="A11:B11"/>
    <mergeCell ref="C11:D11"/>
    <mergeCell ref="G11:H11"/>
    <mergeCell ref="I11:J11"/>
    <mergeCell ref="K11:L11"/>
    <mergeCell ref="M11:N11"/>
    <mergeCell ref="O11:P11"/>
    <mergeCell ref="Q12:R12"/>
    <mergeCell ref="S12:T12"/>
    <mergeCell ref="U12:V12"/>
    <mergeCell ref="W12:X12"/>
    <mergeCell ref="Y12:Z12"/>
    <mergeCell ref="AA12:AB12"/>
    <mergeCell ref="AC12:AD12"/>
    <mergeCell ref="A12:B12"/>
    <mergeCell ref="C12:D12"/>
    <mergeCell ref="G12:H12"/>
    <mergeCell ref="I12:J12"/>
    <mergeCell ref="K12:L12"/>
    <mergeCell ref="M12:N12"/>
    <mergeCell ref="O12:P12"/>
    <mergeCell ref="Q13:R13"/>
    <mergeCell ref="S13:T13"/>
    <mergeCell ref="U13:V13"/>
    <mergeCell ref="W13:X13"/>
    <mergeCell ref="Y13:Z13"/>
    <mergeCell ref="AA13:AB13"/>
    <mergeCell ref="AC13:AD13"/>
    <mergeCell ref="A13:B13"/>
    <mergeCell ref="C13:D13"/>
    <mergeCell ref="G13:H13"/>
    <mergeCell ref="I13:J13"/>
    <mergeCell ref="K13:L13"/>
    <mergeCell ref="M13:N13"/>
    <mergeCell ref="O13:P13"/>
    <mergeCell ref="Q14:R14"/>
    <mergeCell ref="S14:T14"/>
    <mergeCell ref="U14:V14"/>
    <mergeCell ref="W14:X14"/>
    <mergeCell ref="Y14:Z14"/>
    <mergeCell ref="AA14:AB14"/>
    <mergeCell ref="AC14:AD14"/>
    <mergeCell ref="A14:B14"/>
    <mergeCell ref="C14:D14"/>
    <mergeCell ref="G14:H14"/>
    <mergeCell ref="I14:J14"/>
    <mergeCell ref="K14:L14"/>
    <mergeCell ref="M14:N14"/>
    <mergeCell ref="O14:P14"/>
    <mergeCell ref="Q15:R15"/>
    <mergeCell ref="S15:T15"/>
    <mergeCell ref="U15:V15"/>
    <mergeCell ref="W15:X15"/>
    <mergeCell ref="Y15:Z15"/>
    <mergeCell ref="AA15:AB15"/>
    <mergeCell ref="AC15:AD15"/>
    <mergeCell ref="A15:B15"/>
    <mergeCell ref="C15:D15"/>
    <mergeCell ref="G15:H15"/>
    <mergeCell ref="I15:J15"/>
    <mergeCell ref="K15:L15"/>
    <mergeCell ref="M15:N15"/>
    <mergeCell ref="O15:P15"/>
    <mergeCell ref="Q16:R16"/>
    <mergeCell ref="S16:T16"/>
    <mergeCell ref="U16:V16"/>
    <mergeCell ref="W16:X16"/>
    <mergeCell ref="Y16:Z16"/>
    <mergeCell ref="AA16:AB16"/>
    <mergeCell ref="AC16:AD16"/>
    <mergeCell ref="A16:B16"/>
    <mergeCell ref="C16:D16"/>
    <mergeCell ref="G16:H16"/>
    <mergeCell ref="I16:J16"/>
    <mergeCell ref="K16:L16"/>
    <mergeCell ref="M16:N16"/>
    <mergeCell ref="O16:P16"/>
    <mergeCell ref="Q24:R24"/>
    <mergeCell ref="S24:T24"/>
    <mergeCell ref="U24:V24"/>
    <mergeCell ref="W24:X24"/>
    <mergeCell ref="Y24:Z24"/>
    <mergeCell ref="AA24:AB24"/>
    <mergeCell ref="AC24:AD24"/>
    <mergeCell ref="A24:B24"/>
    <mergeCell ref="C24:D24"/>
    <mergeCell ref="G24:H24"/>
    <mergeCell ref="I24:J24"/>
    <mergeCell ref="K24:L24"/>
    <mergeCell ref="M24:N24"/>
    <mergeCell ref="O24:P24"/>
    <mergeCell ref="Q25:R25"/>
    <mergeCell ref="S25:T25"/>
    <mergeCell ref="U25:V25"/>
    <mergeCell ref="W25:X25"/>
    <mergeCell ref="Y25:Z25"/>
    <mergeCell ref="AA25:AB25"/>
    <mergeCell ref="AC25:AD25"/>
    <mergeCell ref="A25:B25"/>
    <mergeCell ref="C25:D25"/>
    <mergeCell ref="G25:H25"/>
    <mergeCell ref="I25:J25"/>
    <mergeCell ref="K25:L25"/>
    <mergeCell ref="M25:N25"/>
    <mergeCell ref="O25:P25"/>
    <mergeCell ref="G7:H8"/>
    <mergeCell ref="I7:J8"/>
    <mergeCell ref="Y7:Z8"/>
    <mergeCell ref="AA7:AB8"/>
    <mergeCell ref="AC7:AD8"/>
    <mergeCell ref="K7:L8"/>
    <mergeCell ref="M7:N8"/>
    <mergeCell ref="O7:P8"/>
    <mergeCell ref="Q7:R8"/>
    <mergeCell ref="S7:T8"/>
    <mergeCell ref="U7:V8"/>
    <mergeCell ref="W7:X8"/>
    <mergeCell ref="A1:N3"/>
    <mergeCell ref="A4:B5"/>
    <mergeCell ref="C4:D5"/>
    <mergeCell ref="A7:B8"/>
    <mergeCell ref="C7:D8"/>
    <mergeCell ref="E7:E8"/>
    <mergeCell ref="F7:F8"/>
    <mergeCell ref="Q9:R9"/>
    <mergeCell ref="S9:T9"/>
    <mergeCell ref="U9:V9"/>
    <mergeCell ref="W9:X9"/>
    <mergeCell ref="Y9:Z9"/>
    <mergeCell ref="AA9:AB9"/>
    <mergeCell ref="AC9:AD9"/>
    <mergeCell ref="A9:B9"/>
    <mergeCell ref="C9:D9"/>
    <mergeCell ref="G9:H9"/>
    <mergeCell ref="I9:J9"/>
    <mergeCell ref="K9:L9"/>
    <mergeCell ref="M9:N9"/>
    <mergeCell ref="O9:P9"/>
    <mergeCell ref="Q26:R26"/>
    <mergeCell ref="S26:T26"/>
    <mergeCell ref="U26:V26"/>
    <mergeCell ref="W26:X26"/>
    <mergeCell ref="Y26:Z26"/>
    <mergeCell ref="AA26:AB26"/>
    <mergeCell ref="AC26:AD26"/>
    <mergeCell ref="A26:B26"/>
    <mergeCell ref="C26:D26"/>
    <mergeCell ref="G26:H26"/>
    <mergeCell ref="I26:J26"/>
    <mergeCell ref="K26:L26"/>
    <mergeCell ref="M26:N26"/>
    <mergeCell ref="O26:P26"/>
    <mergeCell ref="Q17:R17"/>
    <mergeCell ref="S17:T17"/>
    <mergeCell ref="U17:V17"/>
    <mergeCell ref="W17:X17"/>
    <mergeCell ref="Y17:Z17"/>
    <mergeCell ref="AA17:AB17"/>
    <mergeCell ref="AC17:AD17"/>
    <mergeCell ref="A17:B17"/>
    <mergeCell ref="C17:D17"/>
    <mergeCell ref="G17:H17"/>
    <mergeCell ref="I17:J17"/>
    <mergeCell ref="K17:L17"/>
    <mergeCell ref="M17:N17"/>
    <mergeCell ref="O17:P17"/>
    <mergeCell ref="Q18:R18"/>
    <mergeCell ref="S18:T18"/>
    <mergeCell ref="U18:V18"/>
    <mergeCell ref="W18:X18"/>
    <mergeCell ref="Y18:Z18"/>
    <mergeCell ref="AA18:AB18"/>
    <mergeCell ref="AC18:AD18"/>
    <mergeCell ref="A18:B18"/>
    <mergeCell ref="C18:D18"/>
    <mergeCell ref="G18:H18"/>
    <mergeCell ref="I18:J18"/>
    <mergeCell ref="K18:L18"/>
    <mergeCell ref="M18:N18"/>
    <mergeCell ref="O18:P18"/>
    <mergeCell ref="Q19:R19"/>
    <mergeCell ref="S19:T19"/>
    <mergeCell ref="U19:V19"/>
    <mergeCell ref="W19:X19"/>
    <mergeCell ref="Y19:Z19"/>
    <mergeCell ref="AA19:AB19"/>
    <mergeCell ref="AC19:AD19"/>
    <mergeCell ref="A19:B19"/>
    <mergeCell ref="C19:D19"/>
    <mergeCell ref="G19:H19"/>
    <mergeCell ref="I19:J19"/>
    <mergeCell ref="K19:L19"/>
    <mergeCell ref="M19:N19"/>
    <mergeCell ref="O19:P19"/>
    <mergeCell ref="Q20:R20"/>
    <mergeCell ref="S20:T20"/>
    <mergeCell ref="U20:V20"/>
    <mergeCell ref="W20:X20"/>
    <mergeCell ref="Y20:Z20"/>
    <mergeCell ref="AA20:AB20"/>
    <mergeCell ref="AC20:AD20"/>
    <mergeCell ref="A20:B20"/>
    <mergeCell ref="C20:D20"/>
    <mergeCell ref="G20:H20"/>
    <mergeCell ref="I20:J20"/>
    <mergeCell ref="K20:L20"/>
    <mergeCell ref="M20:N20"/>
    <mergeCell ref="O20:P20"/>
    <mergeCell ref="Q21:R21"/>
    <mergeCell ref="S21:T21"/>
    <mergeCell ref="U21:V21"/>
    <mergeCell ref="W21:X21"/>
    <mergeCell ref="Y21:Z21"/>
    <mergeCell ref="AA21:AB21"/>
    <mergeCell ref="AC21:AD21"/>
    <mergeCell ref="A21:B21"/>
    <mergeCell ref="C21:D21"/>
    <mergeCell ref="G21:H21"/>
    <mergeCell ref="I21:J21"/>
    <mergeCell ref="K21:L21"/>
    <mergeCell ref="M21:N21"/>
    <mergeCell ref="O21:P21"/>
    <mergeCell ref="Q22:R22"/>
    <mergeCell ref="S22:T22"/>
    <mergeCell ref="U22:V22"/>
    <mergeCell ref="W22:X22"/>
    <mergeCell ref="Y22:Z22"/>
    <mergeCell ref="AA22:AB22"/>
    <mergeCell ref="AC22:AD22"/>
    <mergeCell ref="A22:B22"/>
    <mergeCell ref="C22:D22"/>
    <mergeCell ref="G22:H22"/>
    <mergeCell ref="I22:J22"/>
    <mergeCell ref="K22:L22"/>
    <mergeCell ref="M22:N22"/>
    <mergeCell ref="O22:P22"/>
    <mergeCell ref="Q23:R23"/>
    <mergeCell ref="S23:T23"/>
    <mergeCell ref="U23:V23"/>
    <mergeCell ref="W23:X23"/>
    <mergeCell ref="Y23:Z23"/>
    <mergeCell ref="AA23:AB23"/>
    <mergeCell ref="AC23:AD23"/>
    <mergeCell ref="A23:B23"/>
    <mergeCell ref="C23:D23"/>
    <mergeCell ref="G23:H23"/>
    <mergeCell ref="I23:J23"/>
    <mergeCell ref="K23:L23"/>
    <mergeCell ref="M23:N23"/>
    <mergeCell ref="O23:P23"/>
  </mergeCells>
  <dataValidations>
    <dataValidation type="list" allowBlank="1" showErrorMessage="1" sqref="U9:U26">
      <formula1>"Low,Medium,High"</formula1>
    </dataValidation>
    <dataValidation type="list" allowBlank="1" showErrorMessage="1" sqref="C4">
      <formula1>'End-to-End Testing - Execution '!$A$9:$B$13</formula1>
    </dataValidation>
    <dataValidation type="list" allowBlank="1" showErrorMessage="1" sqref="Q9:Q26">
      <formula1>"Passed,Failed,Blocked,Not Executed"</formula1>
    </dataValidation>
  </dataValidations>
  <hyperlinks>
    <hyperlink r:id="rId1" ref="Y9"/>
    <hyperlink r:id="rId2" ref="Y10"/>
    <hyperlink r:id="rId3" ref="Y11"/>
    <hyperlink r:id="rId4" ref="Y12"/>
    <hyperlink r:id="rId5" ref="Y13"/>
    <hyperlink r:id="rId6" ref="Y14"/>
    <hyperlink r:id="rId7" ref="Y15"/>
    <hyperlink r:id="rId8" ref="Y16"/>
    <hyperlink r:id="rId9" ref="Y17"/>
    <hyperlink r:id="rId10" ref="Y18"/>
    <hyperlink r:id="rId11" ref="Y19"/>
    <hyperlink r:id="rId12" ref="Y21"/>
    <hyperlink r:id="rId13" ref="Y22"/>
    <hyperlink r:id="rId14" ref="Y23"/>
    <hyperlink r:id="rId15" ref="Y24"/>
    <hyperlink r:id="rId16" ref="Y25"/>
    <hyperlink r:id="rId17" ref="Y26"/>
  </hyperlinks>
  <drawing r:id="rId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20.25"/>
    <col customWidth="1" min="18" max="18" width="20.25"/>
  </cols>
  <sheetData>
    <row r="1">
      <c r="A1" s="2" t="s">
        <v>0</v>
      </c>
    </row>
    <row r="4">
      <c r="A4" s="3" t="s">
        <v>2</v>
      </c>
      <c r="C4" s="4"/>
    </row>
    <row r="7">
      <c r="A7" s="7" t="s">
        <v>4</v>
      </c>
      <c r="B7" s="6"/>
      <c r="C7" s="7" t="s">
        <v>7</v>
      </c>
      <c r="D7" s="6"/>
      <c r="E7" s="7" t="s">
        <v>3</v>
      </c>
      <c r="F7" s="6"/>
      <c r="G7" s="7" t="s">
        <v>10</v>
      </c>
      <c r="H7" s="6"/>
      <c r="I7" s="7" t="s">
        <v>12</v>
      </c>
      <c r="J7" s="6"/>
      <c r="K7" s="7" t="s">
        <v>13</v>
      </c>
      <c r="L7" s="6"/>
      <c r="M7" s="7" t="s">
        <v>14</v>
      </c>
      <c r="N7" s="6"/>
      <c r="O7" s="7" t="s">
        <v>16</v>
      </c>
      <c r="P7" s="6"/>
      <c r="Q7" s="7" t="s">
        <v>18</v>
      </c>
      <c r="R7" s="6"/>
      <c r="S7" s="10" t="s">
        <v>20</v>
      </c>
      <c r="T7" s="6"/>
      <c r="U7" s="10" t="s">
        <v>23</v>
      </c>
      <c r="V7" s="6"/>
      <c r="W7" s="10" t="s">
        <v>25</v>
      </c>
      <c r="X7" s="6"/>
      <c r="Y7" s="10" t="s">
        <v>26</v>
      </c>
      <c r="Z7" s="6"/>
      <c r="AA7" s="10" t="s">
        <v>27</v>
      </c>
      <c r="AB7" s="6"/>
    </row>
    <row r="8">
      <c r="A8" s="11"/>
      <c r="B8" s="13"/>
      <c r="C8" s="11"/>
      <c r="D8" s="13"/>
      <c r="E8" s="11"/>
      <c r="F8" s="13"/>
      <c r="G8" s="11"/>
      <c r="H8" s="13"/>
      <c r="I8" s="11"/>
      <c r="J8" s="13"/>
      <c r="K8" s="11"/>
      <c r="L8" s="13"/>
      <c r="M8" s="11"/>
      <c r="N8" s="13"/>
      <c r="O8" s="11"/>
      <c r="P8" s="13"/>
      <c r="Q8" s="11"/>
      <c r="R8" s="13"/>
      <c r="S8" s="11"/>
      <c r="T8" s="13"/>
      <c r="U8" s="11"/>
      <c r="V8" s="13"/>
      <c r="W8" s="11"/>
      <c r="X8" s="13"/>
      <c r="Y8" s="11"/>
      <c r="Z8" s="13"/>
      <c r="AA8" s="11"/>
      <c r="AB8" s="13"/>
    </row>
    <row r="9">
      <c r="A9" s="15" t="s">
        <v>29</v>
      </c>
      <c r="B9" s="16"/>
      <c r="C9" s="15" t="s">
        <v>30</v>
      </c>
      <c r="D9" s="16"/>
      <c r="E9" s="15" t="s">
        <v>31</v>
      </c>
      <c r="F9" s="16"/>
      <c r="G9" s="15" t="s">
        <v>32</v>
      </c>
      <c r="H9" s="16"/>
      <c r="I9" s="15" t="s">
        <v>33</v>
      </c>
      <c r="J9" s="16"/>
      <c r="K9" s="19" t="s">
        <v>35</v>
      </c>
      <c r="L9" s="16"/>
      <c r="M9" s="21" t="s">
        <v>40</v>
      </c>
      <c r="N9" s="16"/>
      <c r="O9" s="21" t="s">
        <v>43</v>
      </c>
      <c r="P9" s="16"/>
      <c r="Q9" s="19" t="s">
        <v>44</v>
      </c>
      <c r="R9" s="16"/>
      <c r="S9" s="21" t="s">
        <v>45</v>
      </c>
      <c r="T9" s="16"/>
      <c r="U9" s="24" t="s">
        <v>47</v>
      </c>
      <c r="V9" s="16"/>
      <c r="W9" s="21" t="s">
        <v>57</v>
      </c>
      <c r="X9" s="16"/>
      <c r="Y9" s="21"/>
      <c r="Z9" s="16"/>
      <c r="AA9" s="21"/>
      <c r="AB9" s="16"/>
    </row>
    <row r="10">
      <c r="A10" s="15" t="s">
        <v>60</v>
      </c>
      <c r="B10" s="16"/>
      <c r="C10" s="15" t="s">
        <v>30</v>
      </c>
      <c r="D10" s="16"/>
      <c r="E10" s="15" t="s">
        <v>61</v>
      </c>
      <c r="F10" s="16"/>
      <c r="G10" s="15" t="s">
        <v>62</v>
      </c>
      <c r="H10" s="16"/>
      <c r="I10" s="15" t="s">
        <v>64</v>
      </c>
      <c r="J10" s="16"/>
      <c r="K10" s="19" t="s">
        <v>68</v>
      </c>
      <c r="L10" s="16"/>
      <c r="M10" s="21" t="s">
        <v>70</v>
      </c>
      <c r="N10" s="16"/>
      <c r="O10" s="21" t="s">
        <v>72</v>
      </c>
      <c r="P10" s="16"/>
      <c r="Q10" s="19" t="s">
        <v>75</v>
      </c>
      <c r="R10" s="16"/>
      <c r="S10" s="21" t="s">
        <v>45</v>
      </c>
      <c r="T10" s="16"/>
      <c r="U10" s="24" t="s">
        <v>78</v>
      </c>
      <c r="V10" s="16"/>
      <c r="W10" s="21" t="s">
        <v>81</v>
      </c>
      <c r="X10" s="16"/>
      <c r="Y10" s="21"/>
      <c r="Z10" s="16"/>
      <c r="AA10" s="21"/>
      <c r="AB10" s="16"/>
    </row>
    <row r="11">
      <c r="A11" s="27" t="s">
        <v>83</v>
      </c>
      <c r="B11" s="16"/>
      <c r="C11" s="15" t="s">
        <v>30</v>
      </c>
      <c r="D11" s="16"/>
      <c r="E11" s="15" t="s">
        <v>84</v>
      </c>
      <c r="F11" s="16"/>
      <c r="G11" s="15" t="s">
        <v>85</v>
      </c>
      <c r="H11" s="16"/>
      <c r="I11" s="15" t="s">
        <v>88</v>
      </c>
      <c r="J11" s="16"/>
      <c r="K11" s="19" t="s">
        <v>92</v>
      </c>
      <c r="L11" s="16"/>
      <c r="M11" s="21" t="s">
        <v>95</v>
      </c>
      <c r="N11" s="16"/>
      <c r="O11" s="21" t="s">
        <v>72</v>
      </c>
      <c r="P11" s="16"/>
      <c r="Q11" s="19" t="s">
        <v>99</v>
      </c>
      <c r="R11" s="16"/>
      <c r="S11" s="21" t="s">
        <v>45</v>
      </c>
      <c r="T11" s="16"/>
      <c r="U11" s="29"/>
      <c r="V11" s="16"/>
      <c r="W11" s="21" t="s">
        <v>104</v>
      </c>
      <c r="X11" s="16"/>
      <c r="Y11" s="21"/>
      <c r="Z11" s="16"/>
      <c r="AA11" s="21"/>
      <c r="AB11" s="16"/>
    </row>
    <row r="12">
      <c r="A12" s="27" t="s">
        <v>107</v>
      </c>
      <c r="B12" s="16"/>
      <c r="C12" s="15" t="s">
        <v>30</v>
      </c>
      <c r="D12" s="16"/>
      <c r="E12" s="15" t="s">
        <v>109</v>
      </c>
      <c r="F12" s="16"/>
      <c r="G12" s="15" t="s">
        <v>112</v>
      </c>
      <c r="H12" s="16"/>
      <c r="I12" s="15" t="s">
        <v>113</v>
      </c>
      <c r="J12" s="16"/>
      <c r="K12" s="19" t="s">
        <v>114</v>
      </c>
      <c r="L12" s="16"/>
      <c r="M12" s="21" t="s">
        <v>40</v>
      </c>
      <c r="N12" s="16"/>
      <c r="O12" s="21" t="s">
        <v>115</v>
      </c>
      <c r="P12" s="16"/>
      <c r="Q12" s="19" t="s">
        <v>117</v>
      </c>
      <c r="R12" s="16"/>
      <c r="S12" s="21" t="s">
        <v>45</v>
      </c>
      <c r="T12" s="16"/>
      <c r="U12" s="21"/>
      <c r="V12" s="16"/>
      <c r="W12" s="21" t="s">
        <v>121</v>
      </c>
      <c r="X12" s="16"/>
      <c r="Y12" s="21"/>
      <c r="Z12" s="16"/>
      <c r="AA12" s="21"/>
      <c r="AB12" s="16"/>
    </row>
    <row r="13">
      <c r="A13" s="15" t="s">
        <v>126</v>
      </c>
      <c r="B13" s="16"/>
      <c r="C13" s="15" t="s">
        <v>30</v>
      </c>
      <c r="D13" s="16"/>
      <c r="E13" s="15" t="s">
        <v>130</v>
      </c>
      <c r="F13" s="16"/>
      <c r="G13" s="15" t="s">
        <v>131</v>
      </c>
      <c r="H13" s="16"/>
      <c r="I13" s="15" t="s">
        <v>64</v>
      </c>
      <c r="J13" s="16"/>
      <c r="K13" s="19" t="s">
        <v>134</v>
      </c>
      <c r="L13" s="16"/>
      <c r="M13" s="21" t="s">
        <v>40</v>
      </c>
      <c r="N13" s="16"/>
      <c r="O13" s="21" t="s">
        <v>72</v>
      </c>
      <c r="P13" s="16"/>
      <c r="Q13" s="19" t="s">
        <v>80</v>
      </c>
      <c r="R13" s="16"/>
      <c r="S13" s="21" t="s">
        <v>45</v>
      </c>
      <c r="T13" s="16"/>
      <c r="U13" s="21"/>
      <c r="V13" s="16"/>
      <c r="W13" s="21" t="s">
        <v>139</v>
      </c>
      <c r="X13" s="16"/>
      <c r="Y13" s="21"/>
      <c r="Z13" s="16"/>
      <c r="AA13" s="21"/>
      <c r="AB13" s="16"/>
    </row>
    <row r="14">
      <c r="A14" s="27" t="s">
        <v>142</v>
      </c>
      <c r="B14" s="16"/>
      <c r="C14" s="15" t="s">
        <v>30</v>
      </c>
      <c r="D14" s="16"/>
      <c r="E14" s="15" t="s">
        <v>143</v>
      </c>
      <c r="F14" s="16"/>
      <c r="G14" s="15" t="s">
        <v>146</v>
      </c>
      <c r="H14" s="16"/>
      <c r="I14" s="15" t="s">
        <v>88</v>
      </c>
      <c r="J14" s="16"/>
      <c r="K14" s="19" t="s">
        <v>149</v>
      </c>
      <c r="L14" s="16"/>
      <c r="M14" s="21" t="s">
        <v>95</v>
      </c>
      <c r="N14" s="16"/>
      <c r="O14" s="21" t="s">
        <v>115</v>
      </c>
      <c r="P14" s="16"/>
      <c r="Q14" s="19" t="s">
        <v>156</v>
      </c>
      <c r="R14" s="16"/>
      <c r="S14" s="21" t="s">
        <v>45</v>
      </c>
      <c r="T14" s="16"/>
      <c r="U14" s="21"/>
      <c r="V14" s="16"/>
      <c r="W14" s="21" t="s">
        <v>159</v>
      </c>
      <c r="X14" s="16"/>
      <c r="Y14" s="21"/>
      <c r="Z14" s="16"/>
      <c r="AA14" s="21"/>
      <c r="AB14" s="16"/>
    </row>
    <row r="15">
      <c r="A15" s="15" t="s">
        <v>162</v>
      </c>
      <c r="B15" s="16"/>
      <c r="C15" s="15" t="s">
        <v>30</v>
      </c>
      <c r="D15" s="16"/>
      <c r="E15" s="15" t="s">
        <v>116</v>
      </c>
      <c r="F15" s="16"/>
      <c r="G15" s="15" t="s">
        <v>164</v>
      </c>
      <c r="H15" s="16"/>
      <c r="I15" s="15" t="s">
        <v>88</v>
      </c>
      <c r="J15" s="16"/>
      <c r="K15" s="19" t="s">
        <v>166</v>
      </c>
      <c r="L15" s="16"/>
      <c r="M15" s="21" t="s">
        <v>40</v>
      </c>
      <c r="N15" s="16"/>
      <c r="O15" s="21" t="s">
        <v>43</v>
      </c>
      <c r="P15" s="16"/>
      <c r="Q15" s="19" t="s">
        <v>169</v>
      </c>
      <c r="R15" s="16"/>
      <c r="S15" s="21" t="s">
        <v>45</v>
      </c>
      <c r="T15" s="16"/>
      <c r="U15" s="33" t="s">
        <v>173</v>
      </c>
      <c r="V15" s="16"/>
      <c r="W15" s="21" t="s">
        <v>184</v>
      </c>
      <c r="X15" s="16"/>
      <c r="Y15" s="21"/>
      <c r="Z15" s="16"/>
      <c r="AA15" s="21"/>
      <c r="AB15" s="16"/>
    </row>
    <row r="16">
      <c r="K16" s="34"/>
      <c r="L16" s="34"/>
      <c r="Q16" s="34"/>
      <c r="R16" s="34"/>
    </row>
    <row r="17">
      <c r="K17" s="34"/>
      <c r="L17" s="34"/>
      <c r="Q17" s="34"/>
      <c r="R17" s="34"/>
    </row>
    <row r="18">
      <c r="K18" s="34"/>
      <c r="L18" s="34"/>
      <c r="Q18" s="34"/>
      <c r="R18" s="34"/>
    </row>
    <row r="19">
      <c r="K19" s="34"/>
      <c r="L19" s="34"/>
      <c r="Q19" s="34"/>
      <c r="R19" s="34"/>
    </row>
    <row r="20">
      <c r="K20" s="34"/>
      <c r="L20" s="34"/>
      <c r="Q20" s="34"/>
      <c r="R20" s="34"/>
    </row>
    <row r="21">
      <c r="K21" s="34"/>
      <c r="L21" s="34"/>
      <c r="Q21" s="34"/>
      <c r="R21" s="34"/>
    </row>
    <row r="22">
      <c r="K22" s="34"/>
      <c r="L22" s="34"/>
      <c r="Q22" s="34"/>
      <c r="R22" s="34"/>
    </row>
    <row r="23">
      <c r="K23" s="34"/>
      <c r="L23" s="34"/>
      <c r="Q23" s="34"/>
      <c r="R23" s="34"/>
    </row>
    <row r="24">
      <c r="K24" s="34"/>
      <c r="L24" s="34"/>
      <c r="Q24" s="34"/>
      <c r="R24" s="34"/>
    </row>
    <row r="25">
      <c r="K25" s="34"/>
      <c r="L25" s="34"/>
      <c r="Q25" s="34"/>
      <c r="R25" s="34"/>
    </row>
    <row r="26">
      <c r="K26" s="34"/>
      <c r="L26" s="34"/>
      <c r="Q26" s="34"/>
      <c r="R26" s="34"/>
    </row>
    <row r="27">
      <c r="K27" s="34"/>
      <c r="L27" s="34"/>
      <c r="Q27" s="34"/>
      <c r="R27" s="34"/>
    </row>
    <row r="28">
      <c r="K28" s="34"/>
      <c r="L28" s="34"/>
      <c r="Q28" s="34"/>
      <c r="R28" s="34"/>
    </row>
    <row r="29">
      <c r="K29" s="34"/>
      <c r="L29" s="34"/>
      <c r="Q29" s="34"/>
      <c r="R29" s="34"/>
    </row>
    <row r="30">
      <c r="K30" s="34"/>
      <c r="L30" s="34"/>
      <c r="Q30" s="34"/>
      <c r="R30" s="34"/>
    </row>
    <row r="31">
      <c r="K31" s="34"/>
      <c r="L31" s="34"/>
      <c r="Q31" s="34"/>
      <c r="R31" s="34"/>
    </row>
    <row r="32">
      <c r="K32" s="34"/>
      <c r="L32" s="34"/>
      <c r="Q32" s="34"/>
      <c r="R32" s="34"/>
    </row>
    <row r="33">
      <c r="K33" s="34"/>
      <c r="L33" s="34"/>
      <c r="Q33" s="34"/>
      <c r="R33" s="34"/>
    </row>
    <row r="34">
      <c r="K34" s="34"/>
      <c r="L34" s="34"/>
      <c r="Q34" s="34"/>
      <c r="R34" s="34"/>
    </row>
    <row r="35">
      <c r="K35" s="34"/>
      <c r="L35" s="34"/>
      <c r="Q35" s="34"/>
      <c r="R35" s="34"/>
    </row>
    <row r="36">
      <c r="K36" s="34"/>
      <c r="L36" s="34"/>
      <c r="Q36" s="34"/>
      <c r="R36" s="34"/>
    </row>
    <row r="37">
      <c r="K37" s="34"/>
      <c r="L37" s="34"/>
      <c r="Q37" s="34"/>
      <c r="R37" s="34"/>
    </row>
    <row r="38">
      <c r="K38" s="34"/>
      <c r="L38" s="34"/>
      <c r="Q38" s="34"/>
      <c r="R38" s="34"/>
    </row>
    <row r="39">
      <c r="K39" s="34"/>
      <c r="L39" s="34"/>
      <c r="Q39" s="34"/>
      <c r="R39" s="34"/>
    </row>
    <row r="40">
      <c r="K40" s="34"/>
      <c r="L40" s="34"/>
      <c r="Q40" s="34"/>
      <c r="R40" s="34"/>
    </row>
    <row r="41">
      <c r="K41" s="34"/>
      <c r="L41" s="34"/>
      <c r="Q41" s="34"/>
      <c r="R41" s="34"/>
    </row>
    <row r="42">
      <c r="K42" s="34"/>
      <c r="L42" s="34"/>
      <c r="Q42" s="34"/>
      <c r="R42" s="34"/>
    </row>
    <row r="43">
      <c r="K43" s="34"/>
      <c r="L43" s="34"/>
      <c r="Q43" s="34"/>
      <c r="R43" s="34"/>
    </row>
    <row r="44">
      <c r="K44" s="34"/>
      <c r="L44" s="34"/>
      <c r="Q44" s="34"/>
      <c r="R44" s="34"/>
    </row>
    <row r="45">
      <c r="K45" s="34"/>
      <c r="L45" s="34"/>
      <c r="Q45" s="34"/>
      <c r="R45" s="34"/>
    </row>
    <row r="46">
      <c r="K46" s="34"/>
      <c r="L46" s="34"/>
      <c r="Q46" s="34"/>
      <c r="R46" s="34"/>
    </row>
    <row r="47">
      <c r="K47" s="34"/>
      <c r="L47" s="34"/>
      <c r="Q47" s="34"/>
      <c r="R47" s="34"/>
    </row>
    <row r="48">
      <c r="K48" s="34"/>
      <c r="L48" s="34"/>
      <c r="Q48" s="34"/>
      <c r="R48" s="34"/>
    </row>
    <row r="49">
      <c r="K49" s="34"/>
      <c r="L49" s="34"/>
      <c r="Q49" s="34"/>
      <c r="R49" s="34"/>
    </row>
    <row r="50">
      <c r="K50" s="34"/>
      <c r="L50" s="34"/>
      <c r="Q50" s="34"/>
      <c r="R50" s="34"/>
    </row>
    <row r="51">
      <c r="K51" s="34"/>
      <c r="L51" s="34"/>
      <c r="Q51" s="34"/>
      <c r="R51" s="34"/>
    </row>
    <row r="52">
      <c r="K52" s="34"/>
      <c r="L52" s="34"/>
      <c r="Q52" s="34"/>
      <c r="R52" s="34"/>
    </row>
    <row r="53">
      <c r="K53" s="34"/>
      <c r="L53" s="34"/>
      <c r="Q53" s="34"/>
      <c r="R53" s="34"/>
    </row>
    <row r="54">
      <c r="K54" s="34"/>
      <c r="L54" s="34"/>
      <c r="Q54" s="34"/>
      <c r="R54" s="34"/>
    </row>
    <row r="55">
      <c r="K55" s="34"/>
      <c r="L55" s="34"/>
      <c r="Q55" s="34"/>
      <c r="R55" s="34"/>
    </row>
    <row r="56">
      <c r="K56" s="34"/>
      <c r="L56" s="34"/>
      <c r="Q56" s="34"/>
      <c r="R56" s="34"/>
    </row>
    <row r="57">
      <c r="K57" s="34"/>
      <c r="L57" s="34"/>
      <c r="Q57" s="34"/>
      <c r="R57" s="34"/>
    </row>
    <row r="58">
      <c r="K58" s="34"/>
      <c r="L58" s="34"/>
      <c r="Q58" s="34"/>
      <c r="R58" s="34"/>
    </row>
    <row r="59">
      <c r="K59" s="34"/>
      <c r="L59" s="34"/>
      <c r="Q59" s="34"/>
      <c r="R59" s="34"/>
    </row>
    <row r="60">
      <c r="K60" s="34"/>
      <c r="L60" s="34"/>
      <c r="Q60" s="34"/>
      <c r="R60" s="34"/>
    </row>
    <row r="61">
      <c r="K61" s="34"/>
      <c r="L61" s="34"/>
      <c r="Q61" s="34"/>
      <c r="R61" s="34"/>
    </row>
    <row r="62">
      <c r="K62" s="34"/>
      <c r="L62" s="34"/>
      <c r="Q62" s="34"/>
      <c r="R62" s="34"/>
    </row>
    <row r="63">
      <c r="K63" s="34"/>
      <c r="L63" s="34"/>
      <c r="Q63" s="34"/>
      <c r="R63" s="34"/>
    </row>
    <row r="64">
      <c r="K64" s="34"/>
      <c r="L64" s="34"/>
      <c r="Q64" s="34"/>
      <c r="R64" s="34"/>
    </row>
    <row r="65">
      <c r="K65" s="34"/>
      <c r="L65" s="34"/>
      <c r="Q65" s="34"/>
      <c r="R65" s="34"/>
    </row>
    <row r="66">
      <c r="K66" s="34"/>
      <c r="L66" s="34"/>
      <c r="Q66" s="34"/>
      <c r="R66" s="34"/>
    </row>
    <row r="67">
      <c r="K67" s="34"/>
      <c r="L67" s="34"/>
      <c r="Q67" s="34"/>
      <c r="R67" s="34"/>
    </row>
    <row r="68">
      <c r="K68" s="34"/>
      <c r="L68" s="34"/>
      <c r="Q68" s="34"/>
      <c r="R68" s="34"/>
    </row>
    <row r="69">
      <c r="K69" s="34"/>
      <c r="L69" s="34"/>
      <c r="Q69" s="34"/>
      <c r="R69" s="34"/>
    </row>
    <row r="70">
      <c r="K70" s="34"/>
      <c r="L70" s="34"/>
      <c r="Q70" s="34"/>
      <c r="R70" s="34"/>
    </row>
    <row r="71">
      <c r="K71" s="34"/>
      <c r="L71" s="34"/>
      <c r="Q71" s="34"/>
      <c r="R71" s="34"/>
    </row>
    <row r="72">
      <c r="K72" s="34"/>
      <c r="L72" s="34"/>
      <c r="Q72" s="34"/>
      <c r="R72" s="34"/>
    </row>
    <row r="73">
      <c r="K73" s="34"/>
      <c r="L73" s="34"/>
      <c r="Q73" s="34"/>
      <c r="R73" s="34"/>
    </row>
    <row r="74">
      <c r="K74" s="34"/>
      <c r="L74" s="34"/>
      <c r="Q74" s="34"/>
      <c r="R74" s="34"/>
    </row>
    <row r="75">
      <c r="K75" s="34"/>
      <c r="L75" s="34"/>
      <c r="Q75" s="34"/>
      <c r="R75" s="34"/>
    </row>
    <row r="76">
      <c r="K76" s="34"/>
      <c r="L76" s="34"/>
      <c r="Q76" s="34"/>
      <c r="R76" s="34"/>
    </row>
    <row r="77">
      <c r="K77" s="34"/>
      <c r="L77" s="34"/>
      <c r="Q77" s="34"/>
      <c r="R77" s="34"/>
    </row>
    <row r="78">
      <c r="K78" s="34"/>
      <c r="L78" s="34"/>
      <c r="Q78" s="34"/>
      <c r="R78" s="34"/>
    </row>
    <row r="79">
      <c r="K79" s="34"/>
      <c r="L79" s="34"/>
      <c r="Q79" s="34"/>
      <c r="R79" s="34"/>
    </row>
    <row r="80">
      <c r="K80" s="34"/>
      <c r="L80" s="34"/>
      <c r="Q80" s="34"/>
      <c r="R80" s="34"/>
    </row>
    <row r="81">
      <c r="K81" s="34"/>
      <c r="L81" s="34"/>
      <c r="Q81" s="34"/>
      <c r="R81" s="34"/>
    </row>
    <row r="82">
      <c r="K82" s="34"/>
      <c r="L82" s="34"/>
      <c r="Q82" s="34"/>
      <c r="R82" s="34"/>
    </row>
    <row r="83">
      <c r="K83" s="34"/>
      <c r="L83" s="34"/>
      <c r="Q83" s="34"/>
      <c r="R83" s="34"/>
    </row>
    <row r="84">
      <c r="K84" s="34"/>
      <c r="L84" s="34"/>
      <c r="Q84" s="34"/>
      <c r="R84" s="34"/>
    </row>
    <row r="85">
      <c r="K85" s="34"/>
      <c r="L85" s="34"/>
      <c r="Q85" s="34"/>
      <c r="R85" s="34"/>
    </row>
    <row r="86">
      <c r="K86" s="34"/>
      <c r="L86" s="34"/>
      <c r="Q86" s="34"/>
      <c r="R86" s="34"/>
    </row>
    <row r="87">
      <c r="K87" s="34"/>
      <c r="L87" s="34"/>
      <c r="Q87" s="34"/>
      <c r="R87" s="34"/>
    </row>
    <row r="88">
      <c r="K88" s="34"/>
      <c r="L88" s="34"/>
      <c r="Q88" s="34"/>
      <c r="R88" s="34"/>
    </row>
    <row r="89">
      <c r="K89" s="34"/>
      <c r="L89" s="34"/>
      <c r="Q89" s="34"/>
      <c r="R89" s="34"/>
    </row>
    <row r="90">
      <c r="K90" s="34"/>
      <c r="L90" s="34"/>
      <c r="Q90" s="34"/>
      <c r="R90" s="34"/>
    </row>
    <row r="91">
      <c r="K91" s="34"/>
      <c r="L91" s="34"/>
      <c r="Q91" s="34"/>
      <c r="R91" s="34"/>
    </row>
    <row r="92">
      <c r="K92" s="34"/>
      <c r="L92" s="34"/>
      <c r="Q92" s="34"/>
      <c r="R92" s="34"/>
    </row>
    <row r="93">
      <c r="K93" s="34"/>
      <c r="L93" s="34"/>
      <c r="Q93" s="34"/>
      <c r="R93" s="34"/>
    </row>
    <row r="94">
      <c r="K94" s="34"/>
      <c r="L94" s="34"/>
      <c r="Q94" s="34"/>
      <c r="R94" s="34"/>
    </row>
    <row r="95">
      <c r="K95" s="34"/>
      <c r="L95" s="34"/>
      <c r="Q95" s="34"/>
      <c r="R95" s="34"/>
    </row>
    <row r="96">
      <c r="K96" s="34"/>
      <c r="L96" s="34"/>
      <c r="Q96" s="34"/>
      <c r="R96" s="34"/>
    </row>
    <row r="97">
      <c r="K97" s="34"/>
      <c r="L97" s="34"/>
      <c r="Q97" s="34"/>
      <c r="R97" s="34"/>
    </row>
    <row r="98">
      <c r="K98" s="34"/>
      <c r="L98" s="34"/>
      <c r="Q98" s="34"/>
      <c r="R98" s="34"/>
    </row>
    <row r="99">
      <c r="K99" s="34"/>
      <c r="L99" s="34"/>
      <c r="Q99" s="34"/>
      <c r="R99" s="34"/>
    </row>
    <row r="100">
      <c r="K100" s="34"/>
      <c r="L100" s="34"/>
      <c r="Q100" s="34"/>
      <c r="R100" s="34"/>
    </row>
    <row r="101">
      <c r="K101" s="34"/>
      <c r="L101" s="34"/>
      <c r="Q101" s="34"/>
      <c r="R101" s="34"/>
    </row>
    <row r="102">
      <c r="K102" s="34"/>
      <c r="L102" s="34"/>
      <c r="Q102" s="34"/>
      <c r="R102" s="34"/>
    </row>
    <row r="103">
      <c r="K103" s="34"/>
      <c r="L103" s="34"/>
      <c r="Q103" s="34"/>
      <c r="R103" s="34"/>
    </row>
    <row r="104">
      <c r="K104" s="34"/>
      <c r="L104" s="34"/>
      <c r="Q104" s="34"/>
      <c r="R104" s="34"/>
    </row>
    <row r="105">
      <c r="K105" s="34"/>
      <c r="L105" s="34"/>
      <c r="Q105" s="34"/>
      <c r="R105" s="34"/>
    </row>
    <row r="106">
      <c r="K106" s="34"/>
      <c r="L106" s="34"/>
      <c r="Q106" s="34"/>
      <c r="R106" s="34"/>
    </row>
    <row r="107">
      <c r="K107" s="34"/>
      <c r="L107" s="34"/>
      <c r="Q107" s="34"/>
      <c r="R107" s="34"/>
    </row>
    <row r="108">
      <c r="K108" s="34"/>
      <c r="L108" s="34"/>
      <c r="Q108" s="34"/>
      <c r="R108" s="34"/>
    </row>
    <row r="109">
      <c r="K109" s="34"/>
      <c r="L109" s="34"/>
      <c r="Q109" s="34"/>
      <c r="R109" s="34"/>
    </row>
    <row r="110">
      <c r="K110" s="34"/>
      <c r="L110" s="34"/>
      <c r="Q110" s="34"/>
      <c r="R110" s="34"/>
    </row>
    <row r="111">
      <c r="K111" s="34"/>
      <c r="L111" s="34"/>
      <c r="Q111" s="34"/>
      <c r="R111" s="34"/>
    </row>
    <row r="112">
      <c r="K112" s="34"/>
      <c r="L112" s="34"/>
      <c r="Q112" s="34"/>
      <c r="R112" s="34"/>
    </row>
    <row r="113">
      <c r="K113" s="34"/>
      <c r="L113" s="34"/>
      <c r="Q113" s="34"/>
      <c r="R113" s="34"/>
    </row>
    <row r="114">
      <c r="K114" s="34"/>
      <c r="L114" s="34"/>
      <c r="Q114" s="34"/>
      <c r="R114" s="34"/>
    </row>
    <row r="115">
      <c r="K115" s="34"/>
      <c r="L115" s="34"/>
      <c r="Q115" s="34"/>
      <c r="R115" s="34"/>
    </row>
    <row r="116">
      <c r="K116" s="34"/>
      <c r="L116" s="34"/>
      <c r="Q116" s="34"/>
      <c r="R116" s="34"/>
    </row>
    <row r="117">
      <c r="K117" s="34"/>
      <c r="L117" s="34"/>
      <c r="Q117" s="34"/>
      <c r="R117" s="34"/>
    </row>
    <row r="118">
      <c r="K118" s="34"/>
      <c r="L118" s="34"/>
      <c r="Q118" s="34"/>
      <c r="R118" s="34"/>
    </row>
    <row r="119">
      <c r="K119" s="34"/>
      <c r="L119" s="34"/>
      <c r="Q119" s="34"/>
      <c r="R119" s="34"/>
    </row>
    <row r="120">
      <c r="K120" s="34"/>
      <c r="L120" s="34"/>
      <c r="Q120" s="34"/>
      <c r="R120" s="34"/>
    </row>
    <row r="121">
      <c r="K121" s="34"/>
      <c r="L121" s="34"/>
      <c r="Q121" s="34"/>
      <c r="R121" s="34"/>
    </row>
    <row r="122">
      <c r="K122" s="34"/>
      <c r="L122" s="34"/>
      <c r="Q122" s="34"/>
      <c r="R122" s="34"/>
    </row>
    <row r="123">
      <c r="K123" s="34"/>
      <c r="L123" s="34"/>
      <c r="Q123" s="34"/>
      <c r="R123" s="34"/>
    </row>
    <row r="124">
      <c r="K124" s="34"/>
      <c r="L124" s="34"/>
      <c r="Q124" s="34"/>
      <c r="R124" s="34"/>
    </row>
    <row r="125">
      <c r="K125" s="34"/>
      <c r="L125" s="34"/>
      <c r="Q125" s="34"/>
      <c r="R125" s="34"/>
    </row>
    <row r="126">
      <c r="K126" s="34"/>
      <c r="L126" s="34"/>
      <c r="Q126" s="34"/>
      <c r="R126" s="34"/>
    </row>
    <row r="127">
      <c r="K127" s="34"/>
      <c r="L127" s="34"/>
      <c r="Q127" s="34"/>
      <c r="R127" s="34"/>
    </row>
    <row r="128">
      <c r="K128" s="34"/>
      <c r="L128" s="34"/>
      <c r="Q128" s="34"/>
      <c r="R128" s="34"/>
    </row>
    <row r="129">
      <c r="K129" s="34"/>
      <c r="L129" s="34"/>
      <c r="Q129" s="34"/>
      <c r="R129" s="34"/>
    </row>
    <row r="130">
      <c r="K130" s="34"/>
      <c r="L130" s="34"/>
      <c r="Q130" s="34"/>
      <c r="R130" s="34"/>
    </row>
    <row r="131">
      <c r="K131" s="34"/>
      <c r="L131" s="34"/>
      <c r="Q131" s="34"/>
      <c r="R131" s="34"/>
    </row>
    <row r="132">
      <c r="K132" s="34"/>
      <c r="L132" s="34"/>
      <c r="Q132" s="34"/>
      <c r="R132" s="34"/>
    </row>
    <row r="133">
      <c r="K133" s="34"/>
      <c r="L133" s="34"/>
      <c r="Q133" s="34"/>
      <c r="R133" s="34"/>
    </row>
    <row r="134">
      <c r="K134" s="34"/>
      <c r="L134" s="34"/>
      <c r="Q134" s="34"/>
      <c r="R134" s="34"/>
    </row>
    <row r="135">
      <c r="K135" s="34"/>
      <c r="L135" s="34"/>
      <c r="Q135" s="34"/>
      <c r="R135" s="34"/>
    </row>
    <row r="136">
      <c r="K136" s="34"/>
      <c r="L136" s="34"/>
      <c r="Q136" s="34"/>
      <c r="R136" s="34"/>
    </row>
    <row r="137">
      <c r="K137" s="34"/>
      <c r="L137" s="34"/>
      <c r="Q137" s="34"/>
      <c r="R137" s="34"/>
    </row>
    <row r="138">
      <c r="K138" s="34"/>
      <c r="L138" s="34"/>
      <c r="Q138" s="34"/>
      <c r="R138" s="34"/>
    </row>
    <row r="139">
      <c r="K139" s="34"/>
      <c r="L139" s="34"/>
      <c r="Q139" s="34"/>
      <c r="R139" s="34"/>
    </row>
    <row r="140">
      <c r="K140" s="34"/>
      <c r="L140" s="34"/>
      <c r="Q140" s="34"/>
      <c r="R140" s="34"/>
    </row>
    <row r="141">
      <c r="K141" s="34"/>
      <c r="L141" s="34"/>
      <c r="Q141" s="34"/>
      <c r="R141" s="34"/>
    </row>
    <row r="142">
      <c r="K142" s="34"/>
      <c r="L142" s="34"/>
      <c r="Q142" s="34"/>
      <c r="R142" s="34"/>
    </row>
    <row r="143">
      <c r="K143" s="34"/>
      <c r="L143" s="34"/>
      <c r="Q143" s="34"/>
      <c r="R143" s="34"/>
    </row>
    <row r="144">
      <c r="K144" s="34"/>
      <c r="L144" s="34"/>
      <c r="Q144" s="34"/>
      <c r="R144" s="34"/>
    </row>
    <row r="145">
      <c r="K145" s="34"/>
      <c r="L145" s="34"/>
      <c r="Q145" s="34"/>
      <c r="R145" s="34"/>
    </row>
    <row r="146">
      <c r="K146" s="34"/>
      <c r="L146" s="34"/>
      <c r="Q146" s="34"/>
      <c r="R146" s="34"/>
    </row>
    <row r="147">
      <c r="K147" s="34"/>
      <c r="L147" s="34"/>
      <c r="Q147" s="34"/>
      <c r="R147" s="34"/>
    </row>
    <row r="148">
      <c r="K148" s="34"/>
      <c r="L148" s="34"/>
      <c r="Q148" s="34"/>
      <c r="R148" s="34"/>
    </row>
    <row r="149">
      <c r="K149" s="34"/>
      <c r="L149" s="34"/>
      <c r="Q149" s="34"/>
      <c r="R149" s="34"/>
    </row>
    <row r="150">
      <c r="K150" s="34"/>
      <c r="L150" s="34"/>
      <c r="Q150" s="34"/>
      <c r="R150" s="34"/>
    </row>
    <row r="151">
      <c r="K151" s="34"/>
      <c r="L151" s="34"/>
      <c r="Q151" s="34"/>
      <c r="R151" s="34"/>
    </row>
    <row r="152">
      <c r="K152" s="34"/>
      <c r="L152" s="34"/>
      <c r="Q152" s="34"/>
      <c r="R152" s="34"/>
    </row>
    <row r="153">
      <c r="K153" s="34"/>
      <c r="L153" s="34"/>
      <c r="Q153" s="34"/>
      <c r="R153" s="34"/>
    </row>
    <row r="154">
      <c r="K154" s="34"/>
      <c r="L154" s="34"/>
      <c r="Q154" s="34"/>
      <c r="R154" s="34"/>
    </row>
    <row r="155">
      <c r="K155" s="34"/>
      <c r="L155" s="34"/>
      <c r="Q155" s="34"/>
      <c r="R155" s="34"/>
    </row>
    <row r="156">
      <c r="K156" s="34"/>
      <c r="L156" s="34"/>
      <c r="Q156" s="34"/>
      <c r="R156" s="34"/>
    </row>
    <row r="157">
      <c r="K157" s="34"/>
      <c r="L157" s="34"/>
      <c r="Q157" s="34"/>
      <c r="R157" s="34"/>
    </row>
    <row r="158">
      <c r="K158" s="34"/>
      <c r="L158" s="34"/>
      <c r="Q158" s="34"/>
      <c r="R158" s="34"/>
    </row>
    <row r="159">
      <c r="K159" s="34"/>
      <c r="L159" s="34"/>
      <c r="Q159" s="34"/>
      <c r="R159" s="34"/>
    </row>
    <row r="160">
      <c r="K160" s="34"/>
      <c r="L160" s="34"/>
      <c r="Q160" s="34"/>
      <c r="R160" s="34"/>
    </row>
    <row r="161">
      <c r="K161" s="34"/>
      <c r="L161" s="34"/>
      <c r="Q161" s="34"/>
      <c r="R161" s="34"/>
    </row>
    <row r="162">
      <c r="K162" s="34"/>
      <c r="L162" s="34"/>
      <c r="Q162" s="34"/>
      <c r="R162" s="34"/>
    </row>
    <row r="163">
      <c r="K163" s="34"/>
      <c r="L163" s="34"/>
      <c r="Q163" s="34"/>
      <c r="R163" s="34"/>
    </row>
    <row r="164">
      <c r="K164" s="34"/>
      <c r="L164" s="34"/>
      <c r="Q164" s="34"/>
      <c r="R164" s="34"/>
    </row>
    <row r="165">
      <c r="K165" s="34"/>
      <c r="L165" s="34"/>
      <c r="Q165" s="34"/>
      <c r="R165" s="34"/>
    </row>
    <row r="166">
      <c r="K166" s="34"/>
      <c r="L166" s="34"/>
      <c r="Q166" s="34"/>
      <c r="R166" s="34"/>
    </row>
    <row r="167">
      <c r="K167" s="34"/>
      <c r="L167" s="34"/>
      <c r="Q167" s="34"/>
      <c r="R167" s="34"/>
    </row>
    <row r="168">
      <c r="K168" s="34"/>
      <c r="L168" s="34"/>
      <c r="Q168" s="34"/>
      <c r="R168" s="34"/>
    </row>
    <row r="169">
      <c r="K169" s="34"/>
      <c r="L169" s="34"/>
      <c r="Q169" s="34"/>
      <c r="R169" s="34"/>
    </row>
    <row r="170">
      <c r="K170" s="34"/>
      <c r="L170" s="34"/>
      <c r="Q170" s="34"/>
      <c r="R170" s="34"/>
    </row>
    <row r="171">
      <c r="K171" s="34"/>
      <c r="L171" s="34"/>
      <c r="Q171" s="34"/>
      <c r="R171" s="34"/>
    </row>
    <row r="172">
      <c r="K172" s="34"/>
      <c r="L172" s="34"/>
      <c r="Q172" s="34"/>
      <c r="R172" s="34"/>
    </row>
    <row r="173">
      <c r="K173" s="34"/>
      <c r="L173" s="34"/>
      <c r="Q173" s="34"/>
      <c r="R173" s="34"/>
    </row>
    <row r="174">
      <c r="K174" s="34"/>
      <c r="L174" s="34"/>
      <c r="Q174" s="34"/>
      <c r="R174" s="34"/>
    </row>
    <row r="175">
      <c r="K175" s="34"/>
      <c r="L175" s="34"/>
      <c r="Q175" s="34"/>
      <c r="R175" s="34"/>
    </row>
    <row r="176">
      <c r="K176" s="34"/>
      <c r="L176" s="34"/>
      <c r="Q176" s="34"/>
      <c r="R176" s="34"/>
    </row>
    <row r="177">
      <c r="K177" s="34"/>
      <c r="L177" s="34"/>
      <c r="Q177" s="34"/>
      <c r="R177" s="34"/>
    </row>
    <row r="178">
      <c r="K178" s="34"/>
      <c r="L178" s="34"/>
      <c r="Q178" s="34"/>
      <c r="R178" s="34"/>
    </row>
    <row r="179">
      <c r="K179" s="34"/>
      <c r="L179" s="34"/>
      <c r="Q179" s="34"/>
      <c r="R179" s="34"/>
    </row>
    <row r="180">
      <c r="K180" s="34"/>
      <c r="L180" s="34"/>
      <c r="Q180" s="34"/>
      <c r="R180" s="34"/>
    </row>
    <row r="181">
      <c r="K181" s="34"/>
      <c r="L181" s="34"/>
      <c r="Q181" s="34"/>
      <c r="R181" s="34"/>
    </row>
    <row r="182">
      <c r="K182" s="34"/>
      <c r="L182" s="34"/>
      <c r="Q182" s="34"/>
      <c r="R182" s="34"/>
    </row>
    <row r="183">
      <c r="K183" s="34"/>
      <c r="L183" s="34"/>
      <c r="Q183" s="34"/>
      <c r="R183" s="34"/>
    </row>
    <row r="184">
      <c r="K184" s="34"/>
      <c r="L184" s="34"/>
      <c r="Q184" s="34"/>
      <c r="R184" s="34"/>
    </row>
    <row r="185">
      <c r="K185" s="34"/>
      <c r="L185" s="34"/>
      <c r="Q185" s="34"/>
      <c r="R185" s="34"/>
    </row>
    <row r="186">
      <c r="K186" s="34"/>
      <c r="L186" s="34"/>
      <c r="Q186" s="34"/>
      <c r="R186" s="34"/>
    </row>
    <row r="187">
      <c r="K187" s="34"/>
      <c r="L187" s="34"/>
      <c r="Q187" s="34"/>
      <c r="R187" s="34"/>
    </row>
    <row r="188">
      <c r="K188" s="34"/>
      <c r="L188" s="34"/>
      <c r="Q188" s="34"/>
      <c r="R188" s="34"/>
    </row>
    <row r="189">
      <c r="K189" s="34"/>
      <c r="L189" s="34"/>
      <c r="Q189" s="34"/>
      <c r="R189" s="34"/>
    </row>
    <row r="190">
      <c r="K190" s="34"/>
      <c r="L190" s="34"/>
      <c r="Q190" s="34"/>
      <c r="R190" s="34"/>
    </row>
    <row r="191">
      <c r="K191" s="34"/>
      <c r="L191" s="34"/>
      <c r="Q191" s="34"/>
      <c r="R191" s="34"/>
    </row>
    <row r="192">
      <c r="K192" s="34"/>
      <c r="L192" s="34"/>
      <c r="Q192" s="34"/>
      <c r="R192" s="34"/>
    </row>
    <row r="193">
      <c r="K193" s="34"/>
      <c r="L193" s="34"/>
      <c r="Q193" s="34"/>
      <c r="R193" s="34"/>
    </row>
    <row r="194">
      <c r="K194" s="34"/>
      <c r="L194" s="34"/>
      <c r="Q194" s="34"/>
      <c r="R194" s="34"/>
    </row>
    <row r="195">
      <c r="K195" s="34"/>
      <c r="L195" s="34"/>
      <c r="Q195" s="34"/>
      <c r="R195" s="34"/>
    </row>
    <row r="196">
      <c r="K196" s="34"/>
      <c r="L196" s="34"/>
      <c r="Q196" s="34"/>
      <c r="R196" s="34"/>
    </row>
    <row r="197">
      <c r="K197" s="34"/>
      <c r="L197" s="34"/>
      <c r="Q197" s="34"/>
      <c r="R197" s="34"/>
    </row>
    <row r="198">
      <c r="K198" s="34"/>
      <c r="L198" s="34"/>
      <c r="Q198" s="34"/>
      <c r="R198" s="34"/>
    </row>
    <row r="199">
      <c r="K199" s="34"/>
      <c r="L199" s="34"/>
      <c r="Q199" s="34"/>
      <c r="R199" s="34"/>
    </row>
    <row r="200">
      <c r="K200" s="34"/>
      <c r="L200" s="34"/>
      <c r="Q200" s="34"/>
      <c r="R200" s="34"/>
    </row>
    <row r="201">
      <c r="K201" s="34"/>
      <c r="L201" s="34"/>
      <c r="Q201" s="34"/>
      <c r="R201" s="34"/>
    </row>
    <row r="202">
      <c r="K202" s="34"/>
      <c r="L202" s="34"/>
      <c r="Q202" s="34"/>
      <c r="R202" s="34"/>
    </row>
    <row r="203">
      <c r="K203" s="34"/>
      <c r="L203" s="34"/>
      <c r="Q203" s="34"/>
      <c r="R203" s="34"/>
    </row>
    <row r="204">
      <c r="K204" s="34"/>
      <c r="L204" s="34"/>
      <c r="Q204" s="34"/>
      <c r="R204" s="34"/>
    </row>
    <row r="205">
      <c r="K205" s="34"/>
      <c r="L205" s="34"/>
      <c r="Q205" s="34"/>
      <c r="R205" s="34"/>
    </row>
    <row r="206">
      <c r="K206" s="34"/>
      <c r="L206" s="34"/>
      <c r="Q206" s="34"/>
      <c r="R206" s="34"/>
    </row>
    <row r="207">
      <c r="K207" s="34"/>
      <c r="L207" s="34"/>
      <c r="Q207" s="34"/>
      <c r="R207" s="34"/>
    </row>
    <row r="208">
      <c r="K208" s="34"/>
      <c r="L208" s="34"/>
      <c r="Q208" s="34"/>
      <c r="R208" s="34"/>
    </row>
    <row r="209">
      <c r="K209" s="34"/>
      <c r="L209" s="34"/>
      <c r="Q209" s="34"/>
      <c r="R209" s="34"/>
    </row>
    <row r="210">
      <c r="K210" s="34"/>
      <c r="L210" s="34"/>
      <c r="Q210" s="34"/>
      <c r="R210" s="34"/>
    </row>
    <row r="211">
      <c r="K211" s="34"/>
      <c r="L211" s="34"/>
      <c r="Q211" s="34"/>
      <c r="R211" s="34"/>
    </row>
    <row r="212">
      <c r="K212" s="34"/>
      <c r="L212" s="34"/>
      <c r="Q212" s="34"/>
      <c r="R212" s="34"/>
    </row>
    <row r="213">
      <c r="K213" s="34"/>
      <c r="L213" s="34"/>
      <c r="Q213" s="34"/>
      <c r="R213" s="34"/>
    </row>
    <row r="214">
      <c r="K214" s="34"/>
      <c r="L214" s="34"/>
      <c r="Q214" s="34"/>
      <c r="R214" s="34"/>
    </row>
    <row r="215">
      <c r="K215" s="34"/>
      <c r="L215" s="34"/>
      <c r="Q215" s="34"/>
      <c r="R215" s="34"/>
    </row>
    <row r="216">
      <c r="K216" s="34"/>
      <c r="L216" s="34"/>
      <c r="Q216" s="34"/>
      <c r="R216" s="34"/>
    </row>
    <row r="217">
      <c r="K217" s="34"/>
      <c r="L217" s="34"/>
      <c r="Q217" s="34"/>
      <c r="R217" s="34"/>
    </row>
    <row r="218">
      <c r="K218" s="34"/>
      <c r="L218" s="34"/>
      <c r="Q218" s="34"/>
      <c r="R218" s="34"/>
    </row>
    <row r="219">
      <c r="K219" s="34"/>
      <c r="L219" s="34"/>
      <c r="Q219" s="34"/>
      <c r="R219" s="34"/>
    </row>
    <row r="220">
      <c r="K220" s="34"/>
      <c r="L220" s="34"/>
      <c r="Q220" s="34"/>
      <c r="R220" s="34"/>
    </row>
    <row r="221">
      <c r="K221" s="34"/>
      <c r="L221" s="34"/>
      <c r="Q221" s="34"/>
      <c r="R221" s="34"/>
    </row>
    <row r="222">
      <c r="K222" s="34"/>
      <c r="L222" s="34"/>
      <c r="Q222" s="34"/>
      <c r="R222" s="34"/>
    </row>
    <row r="223">
      <c r="K223" s="34"/>
      <c r="L223" s="34"/>
      <c r="Q223" s="34"/>
      <c r="R223" s="34"/>
    </row>
    <row r="224">
      <c r="K224" s="34"/>
      <c r="L224" s="34"/>
      <c r="Q224" s="34"/>
      <c r="R224" s="34"/>
    </row>
    <row r="225">
      <c r="K225" s="34"/>
      <c r="L225" s="34"/>
      <c r="Q225" s="34"/>
      <c r="R225" s="34"/>
    </row>
    <row r="226">
      <c r="K226" s="34"/>
      <c r="L226" s="34"/>
      <c r="Q226" s="34"/>
      <c r="R226" s="34"/>
    </row>
    <row r="227">
      <c r="K227" s="34"/>
      <c r="L227" s="34"/>
      <c r="Q227" s="34"/>
      <c r="R227" s="34"/>
    </row>
    <row r="228">
      <c r="K228" s="34"/>
      <c r="L228" s="34"/>
      <c r="Q228" s="34"/>
      <c r="R228" s="34"/>
    </row>
    <row r="229">
      <c r="K229" s="34"/>
      <c r="L229" s="34"/>
      <c r="Q229" s="34"/>
      <c r="R229" s="34"/>
    </row>
    <row r="230">
      <c r="K230" s="34"/>
      <c r="L230" s="34"/>
      <c r="Q230" s="34"/>
      <c r="R230" s="34"/>
    </row>
    <row r="231">
      <c r="K231" s="34"/>
      <c r="L231" s="34"/>
      <c r="Q231" s="34"/>
      <c r="R231" s="34"/>
    </row>
    <row r="232">
      <c r="K232" s="34"/>
      <c r="L232" s="34"/>
      <c r="Q232" s="34"/>
      <c r="R232" s="34"/>
    </row>
    <row r="233">
      <c r="K233" s="34"/>
      <c r="L233" s="34"/>
      <c r="Q233" s="34"/>
      <c r="R233" s="34"/>
    </row>
    <row r="234">
      <c r="K234" s="34"/>
      <c r="L234" s="34"/>
      <c r="Q234" s="34"/>
      <c r="R234" s="34"/>
    </row>
    <row r="235">
      <c r="K235" s="34"/>
      <c r="L235" s="34"/>
      <c r="Q235" s="34"/>
      <c r="R235" s="34"/>
    </row>
    <row r="236">
      <c r="K236" s="34"/>
      <c r="L236" s="34"/>
      <c r="Q236" s="34"/>
      <c r="R236" s="34"/>
    </row>
    <row r="237">
      <c r="K237" s="34"/>
      <c r="L237" s="34"/>
      <c r="Q237" s="34"/>
      <c r="R237" s="34"/>
    </row>
    <row r="238">
      <c r="K238" s="34"/>
      <c r="L238" s="34"/>
      <c r="Q238" s="34"/>
      <c r="R238" s="34"/>
    </row>
    <row r="239">
      <c r="K239" s="34"/>
      <c r="L239" s="34"/>
      <c r="Q239" s="34"/>
      <c r="R239" s="34"/>
    </row>
    <row r="240">
      <c r="K240" s="34"/>
      <c r="L240" s="34"/>
      <c r="Q240" s="34"/>
      <c r="R240" s="34"/>
    </row>
    <row r="241">
      <c r="K241" s="34"/>
      <c r="L241" s="34"/>
      <c r="Q241" s="34"/>
      <c r="R241" s="34"/>
    </row>
    <row r="242">
      <c r="K242" s="34"/>
      <c r="L242" s="34"/>
      <c r="Q242" s="34"/>
      <c r="R242" s="34"/>
    </row>
    <row r="243">
      <c r="K243" s="34"/>
      <c r="L243" s="34"/>
      <c r="Q243" s="34"/>
      <c r="R243" s="34"/>
    </row>
    <row r="244">
      <c r="K244" s="34"/>
      <c r="L244" s="34"/>
      <c r="Q244" s="34"/>
      <c r="R244" s="34"/>
    </row>
    <row r="245">
      <c r="K245" s="34"/>
      <c r="L245" s="34"/>
      <c r="Q245" s="34"/>
      <c r="R245" s="34"/>
    </row>
    <row r="246">
      <c r="K246" s="34"/>
      <c r="L246" s="34"/>
      <c r="Q246" s="34"/>
      <c r="R246" s="34"/>
    </row>
    <row r="247">
      <c r="K247" s="34"/>
      <c r="L247" s="34"/>
      <c r="Q247" s="34"/>
      <c r="R247" s="34"/>
    </row>
    <row r="248">
      <c r="K248" s="34"/>
      <c r="L248" s="34"/>
      <c r="Q248" s="34"/>
      <c r="R248" s="34"/>
    </row>
    <row r="249">
      <c r="K249" s="34"/>
      <c r="L249" s="34"/>
      <c r="Q249" s="34"/>
      <c r="R249" s="34"/>
    </row>
    <row r="250">
      <c r="K250" s="34"/>
      <c r="L250" s="34"/>
      <c r="Q250" s="34"/>
      <c r="R250" s="34"/>
    </row>
    <row r="251">
      <c r="K251" s="34"/>
      <c r="L251" s="34"/>
      <c r="Q251" s="34"/>
      <c r="R251" s="34"/>
    </row>
    <row r="252">
      <c r="K252" s="34"/>
      <c r="L252" s="34"/>
      <c r="Q252" s="34"/>
      <c r="R252" s="34"/>
    </row>
    <row r="253">
      <c r="K253" s="34"/>
      <c r="L253" s="34"/>
      <c r="Q253" s="34"/>
      <c r="R253" s="34"/>
    </row>
    <row r="254">
      <c r="K254" s="34"/>
      <c r="L254" s="34"/>
      <c r="Q254" s="34"/>
      <c r="R254" s="34"/>
    </row>
    <row r="255">
      <c r="K255" s="34"/>
      <c r="L255" s="34"/>
      <c r="Q255" s="34"/>
      <c r="R255" s="34"/>
    </row>
    <row r="256">
      <c r="K256" s="34"/>
      <c r="L256" s="34"/>
      <c r="Q256" s="34"/>
      <c r="R256" s="34"/>
    </row>
    <row r="257">
      <c r="K257" s="34"/>
      <c r="L257" s="34"/>
      <c r="Q257" s="34"/>
      <c r="R257" s="34"/>
    </row>
    <row r="258">
      <c r="K258" s="34"/>
      <c r="L258" s="34"/>
      <c r="Q258" s="34"/>
      <c r="R258" s="34"/>
    </row>
    <row r="259">
      <c r="K259" s="34"/>
      <c r="L259" s="34"/>
      <c r="Q259" s="34"/>
      <c r="R259" s="34"/>
    </row>
    <row r="260">
      <c r="K260" s="34"/>
      <c r="L260" s="34"/>
      <c r="Q260" s="34"/>
      <c r="R260" s="34"/>
    </row>
    <row r="261">
      <c r="K261" s="34"/>
      <c r="L261" s="34"/>
      <c r="Q261" s="34"/>
      <c r="R261" s="34"/>
    </row>
    <row r="262">
      <c r="K262" s="34"/>
      <c r="L262" s="34"/>
      <c r="Q262" s="34"/>
      <c r="R262" s="34"/>
    </row>
    <row r="263">
      <c r="K263" s="34"/>
      <c r="L263" s="34"/>
      <c r="Q263" s="34"/>
      <c r="R263" s="34"/>
    </row>
    <row r="264">
      <c r="K264" s="34"/>
      <c r="L264" s="34"/>
      <c r="Q264" s="34"/>
      <c r="R264" s="34"/>
    </row>
    <row r="265">
      <c r="K265" s="34"/>
      <c r="L265" s="34"/>
      <c r="Q265" s="34"/>
      <c r="R265" s="34"/>
    </row>
    <row r="266">
      <c r="K266" s="34"/>
      <c r="L266" s="34"/>
      <c r="Q266" s="34"/>
      <c r="R266" s="34"/>
    </row>
    <row r="267">
      <c r="K267" s="34"/>
      <c r="L267" s="34"/>
      <c r="Q267" s="34"/>
      <c r="R267" s="34"/>
    </row>
    <row r="268">
      <c r="K268" s="34"/>
      <c r="L268" s="34"/>
      <c r="Q268" s="34"/>
      <c r="R268" s="34"/>
    </row>
    <row r="269">
      <c r="K269" s="34"/>
      <c r="L269" s="34"/>
      <c r="Q269" s="34"/>
      <c r="R269" s="34"/>
    </row>
    <row r="270">
      <c r="K270" s="34"/>
      <c r="L270" s="34"/>
      <c r="Q270" s="34"/>
      <c r="R270" s="34"/>
    </row>
    <row r="271">
      <c r="K271" s="34"/>
      <c r="L271" s="34"/>
      <c r="Q271" s="34"/>
      <c r="R271" s="34"/>
    </row>
    <row r="272">
      <c r="K272" s="34"/>
      <c r="L272" s="34"/>
      <c r="Q272" s="34"/>
      <c r="R272" s="34"/>
    </row>
    <row r="273">
      <c r="K273" s="34"/>
      <c r="L273" s="34"/>
      <c r="Q273" s="34"/>
      <c r="R273" s="34"/>
    </row>
    <row r="274">
      <c r="K274" s="34"/>
      <c r="L274" s="34"/>
      <c r="Q274" s="34"/>
      <c r="R274" s="34"/>
    </row>
    <row r="275">
      <c r="K275" s="34"/>
      <c r="L275" s="34"/>
      <c r="Q275" s="34"/>
      <c r="R275" s="34"/>
    </row>
    <row r="276">
      <c r="K276" s="34"/>
      <c r="L276" s="34"/>
      <c r="Q276" s="34"/>
      <c r="R276" s="34"/>
    </row>
    <row r="277">
      <c r="K277" s="34"/>
      <c r="L277" s="34"/>
      <c r="Q277" s="34"/>
      <c r="R277" s="34"/>
    </row>
    <row r="278">
      <c r="K278" s="34"/>
      <c r="L278" s="34"/>
      <c r="Q278" s="34"/>
      <c r="R278" s="34"/>
    </row>
    <row r="279">
      <c r="K279" s="34"/>
      <c r="L279" s="34"/>
      <c r="Q279" s="34"/>
      <c r="R279" s="34"/>
    </row>
    <row r="280">
      <c r="K280" s="34"/>
      <c r="L280" s="34"/>
      <c r="Q280" s="34"/>
      <c r="R280" s="34"/>
    </row>
    <row r="281">
      <c r="K281" s="34"/>
      <c r="L281" s="34"/>
      <c r="Q281" s="34"/>
      <c r="R281" s="34"/>
    </row>
    <row r="282">
      <c r="K282" s="34"/>
      <c r="L282" s="34"/>
      <c r="Q282" s="34"/>
      <c r="R282" s="34"/>
    </row>
    <row r="283">
      <c r="K283" s="34"/>
      <c r="L283" s="34"/>
      <c r="Q283" s="34"/>
      <c r="R283" s="34"/>
    </row>
    <row r="284">
      <c r="K284" s="34"/>
      <c r="L284" s="34"/>
      <c r="Q284" s="34"/>
      <c r="R284" s="34"/>
    </row>
    <row r="285">
      <c r="K285" s="34"/>
      <c r="L285" s="34"/>
      <c r="Q285" s="34"/>
      <c r="R285" s="34"/>
    </row>
    <row r="286">
      <c r="K286" s="34"/>
      <c r="L286" s="34"/>
      <c r="Q286" s="34"/>
      <c r="R286" s="34"/>
    </row>
    <row r="287">
      <c r="K287" s="34"/>
      <c r="L287" s="34"/>
      <c r="Q287" s="34"/>
      <c r="R287" s="34"/>
    </row>
    <row r="288">
      <c r="K288" s="34"/>
      <c r="L288" s="34"/>
      <c r="Q288" s="34"/>
      <c r="R288" s="34"/>
    </row>
    <row r="289">
      <c r="K289" s="34"/>
      <c r="L289" s="34"/>
      <c r="Q289" s="34"/>
      <c r="R289" s="34"/>
    </row>
    <row r="290">
      <c r="K290" s="34"/>
      <c r="L290" s="34"/>
      <c r="Q290" s="34"/>
      <c r="R290" s="34"/>
    </row>
    <row r="291">
      <c r="K291" s="34"/>
      <c r="L291" s="34"/>
      <c r="Q291" s="34"/>
      <c r="R291" s="34"/>
    </row>
    <row r="292">
      <c r="K292" s="34"/>
      <c r="L292" s="34"/>
      <c r="Q292" s="34"/>
      <c r="R292" s="34"/>
    </row>
    <row r="293">
      <c r="K293" s="34"/>
      <c r="L293" s="34"/>
      <c r="Q293" s="34"/>
      <c r="R293" s="34"/>
    </row>
    <row r="294">
      <c r="K294" s="34"/>
      <c r="L294" s="34"/>
      <c r="Q294" s="34"/>
      <c r="R294" s="34"/>
    </row>
    <row r="295">
      <c r="K295" s="34"/>
      <c r="L295" s="34"/>
      <c r="Q295" s="34"/>
      <c r="R295" s="34"/>
    </row>
    <row r="296">
      <c r="K296" s="34"/>
      <c r="L296" s="34"/>
      <c r="Q296" s="34"/>
      <c r="R296" s="34"/>
    </row>
    <row r="297">
      <c r="K297" s="34"/>
      <c r="L297" s="34"/>
      <c r="Q297" s="34"/>
      <c r="R297" s="34"/>
    </row>
    <row r="298">
      <c r="K298" s="34"/>
      <c r="L298" s="34"/>
      <c r="Q298" s="34"/>
      <c r="R298" s="34"/>
    </row>
    <row r="299">
      <c r="K299" s="34"/>
      <c r="L299" s="34"/>
      <c r="Q299" s="34"/>
      <c r="R299" s="34"/>
    </row>
    <row r="300">
      <c r="K300" s="34"/>
      <c r="L300" s="34"/>
      <c r="Q300" s="34"/>
      <c r="R300" s="34"/>
    </row>
    <row r="301">
      <c r="K301" s="34"/>
      <c r="L301" s="34"/>
      <c r="Q301" s="34"/>
      <c r="R301" s="34"/>
    </row>
    <row r="302">
      <c r="K302" s="34"/>
      <c r="L302" s="34"/>
      <c r="Q302" s="34"/>
      <c r="R302" s="34"/>
    </row>
    <row r="303">
      <c r="K303" s="34"/>
      <c r="L303" s="34"/>
      <c r="Q303" s="34"/>
      <c r="R303" s="34"/>
    </row>
    <row r="304">
      <c r="K304" s="34"/>
      <c r="L304" s="34"/>
      <c r="Q304" s="34"/>
      <c r="R304" s="34"/>
    </row>
    <row r="305">
      <c r="K305" s="34"/>
      <c r="L305" s="34"/>
      <c r="Q305" s="34"/>
      <c r="R305" s="34"/>
    </row>
    <row r="306">
      <c r="K306" s="34"/>
      <c r="L306" s="34"/>
      <c r="Q306" s="34"/>
      <c r="R306" s="34"/>
    </row>
    <row r="307">
      <c r="K307" s="34"/>
      <c r="L307" s="34"/>
      <c r="Q307" s="34"/>
      <c r="R307" s="34"/>
    </row>
    <row r="308">
      <c r="K308" s="34"/>
      <c r="L308" s="34"/>
      <c r="Q308" s="34"/>
      <c r="R308" s="34"/>
    </row>
    <row r="309">
      <c r="K309" s="34"/>
      <c r="L309" s="34"/>
      <c r="Q309" s="34"/>
      <c r="R309" s="34"/>
    </row>
    <row r="310">
      <c r="K310" s="34"/>
      <c r="L310" s="34"/>
      <c r="Q310" s="34"/>
      <c r="R310" s="34"/>
    </row>
    <row r="311">
      <c r="K311" s="34"/>
      <c r="L311" s="34"/>
      <c r="Q311" s="34"/>
      <c r="R311" s="34"/>
    </row>
    <row r="312">
      <c r="K312" s="34"/>
      <c r="L312" s="34"/>
      <c r="Q312" s="34"/>
      <c r="R312" s="34"/>
    </row>
    <row r="313">
      <c r="K313" s="34"/>
      <c r="L313" s="34"/>
      <c r="Q313" s="34"/>
      <c r="R313" s="34"/>
    </row>
    <row r="314">
      <c r="K314" s="34"/>
      <c r="L314" s="34"/>
      <c r="Q314" s="34"/>
      <c r="R314" s="34"/>
    </row>
    <row r="315">
      <c r="K315" s="34"/>
      <c r="L315" s="34"/>
      <c r="Q315" s="34"/>
      <c r="R315" s="34"/>
    </row>
    <row r="316">
      <c r="K316" s="34"/>
      <c r="L316" s="34"/>
      <c r="Q316" s="34"/>
      <c r="R316" s="34"/>
    </row>
    <row r="317">
      <c r="K317" s="34"/>
      <c r="L317" s="34"/>
      <c r="Q317" s="34"/>
      <c r="R317" s="34"/>
    </row>
    <row r="318">
      <c r="K318" s="34"/>
      <c r="L318" s="34"/>
      <c r="Q318" s="34"/>
      <c r="R318" s="34"/>
    </row>
    <row r="319">
      <c r="K319" s="34"/>
      <c r="L319" s="34"/>
      <c r="Q319" s="34"/>
      <c r="R319" s="34"/>
    </row>
    <row r="320">
      <c r="K320" s="34"/>
      <c r="L320" s="34"/>
      <c r="Q320" s="34"/>
      <c r="R320" s="34"/>
    </row>
    <row r="321">
      <c r="K321" s="34"/>
      <c r="L321" s="34"/>
      <c r="Q321" s="34"/>
      <c r="R321" s="34"/>
    </row>
    <row r="322">
      <c r="K322" s="34"/>
      <c r="L322" s="34"/>
      <c r="Q322" s="34"/>
      <c r="R322" s="34"/>
    </row>
    <row r="323">
      <c r="K323" s="34"/>
      <c r="L323" s="34"/>
      <c r="Q323" s="34"/>
      <c r="R323" s="34"/>
    </row>
    <row r="324">
      <c r="K324" s="34"/>
      <c r="L324" s="34"/>
      <c r="Q324" s="34"/>
      <c r="R324" s="34"/>
    </row>
    <row r="325">
      <c r="K325" s="34"/>
      <c r="L325" s="34"/>
      <c r="Q325" s="34"/>
      <c r="R325" s="34"/>
    </row>
    <row r="326">
      <c r="K326" s="34"/>
      <c r="L326" s="34"/>
      <c r="Q326" s="34"/>
      <c r="R326" s="34"/>
    </row>
    <row r="327">
      <c r="K327" s="34"/>
      <c r="L327" s="34"/>
      <c r="Q327" s="34"/>
      <c r="R327" s="34"/>
    </row>
    <row r="328">
      <c r="K328" s="34"/>
      <c r="L328" s="34"/>
      <c r="Q328" s="34"/>
      <c r="R328" s="34"/>
    </row>
    <row r="329">
      <c r="K329" s="34"/>
      <c r="L329" s="34"/>
      <c r="Q329" s="34"/>
      <c r="R329" s="34"/>
    </row>
    <row r="330">
      <c r="K330" s="34"/>
      <c r="L330" s="34"/>
      <c r="Q330" s="34"/>
      <c r="R330" s="34"/>
    </row>
    <row r="331">
      <c r="K331" s="34"/>
      <c r="L331" s="34"/>
      <c r="Q331" s="34"/>
      <c r="R331" s="34"/>
    </row>
    <row r="332">
      <c r="K332" s="34"/>
      <c r="L332" s="34"/>
      <c r="Q332" s="34"/>
      <c r="R332" s="34"/>
    </row>
    <row r="333">
      <c r="K333" s="34"/>
      <c r="L333" s="34"/>
      <c r="Q333" s="34"/>
      <c r="R333" s="34"/>
    </row>
    <row r="334">
      <c r="K334" s="34"/>
      <c r="L334" s="34"/>
      <c r="Q334" s="34"/>
      <c r="R334" s="34"/>
    </row>
    <row r="335">
      <c r="K335" s="34"/>
      <c r="L335" s="34"/>
      <c r="Q335" s="34"/>
      <c r="R335" s="34"/>
    </row>
    <row r="336">
      <c r="K336" s="34"/>
      <c r="L336" s="34"/>
      <c r="Q336" s="34"/>
      <c r="R336" s="34"/>
    </row>
    <row r="337">
      <c r="K337" s="34"/>
      <c r="L337" s="34"/>
      <c r="Q337" s="34"/>
      <c r="R337" s="34"/>
    </row>
    <row r="338">
      <c r="K338" s="34"/>
      <c r="L338" s="34"/>
      <c r="Q338" s="34"/>
      <c r="R338" s="34"/>
    </row>
    <row r="339">
      <c r="K339" s="34"/>
      <c r="L339" s="34"/>
      <c r="Q339" s="34"/>
      <c r="R339" s="34"/>
    </row>
    <row r="340">
      <c r="K340" s="34"/>
      <c r="L340" s="34"/>
      <c r="Q340" s="34"/>
      <c r="R340" s="34"/>
    </row>
    <row r="341">
      <c r="K341" s="34"/>
      <c r="L341" s="34"/>
      <c r="Q341" s="34"/>
      <c r="R341" s="34"/>
    </row>
    <row r="342">
      <c r="K342" s="34"/>
      <c r="L342" s="34"/>
      <c r="Q342" s="34"/>
      <c r="R342" s="34"/>
    </row>
    <row r="343">
      <c r="K343" s="34"/>
      <c r="L343" s="34"/>
      <c r="Q343" s="34"/>
      <c r="R343" s="34"/>
    </row>
    <row r="344">
      <c r="K344" s="34"/>
      <c r="L344" s="34"/>
      <c r="Q344" s="34"/>
      <c r="R344" s="34"/>
    </row>
    <row r="345">
      <c r="K345" s="34"/>
      <c r="L345" s="34"/>
      <c r="Q345" s="34"/>
      <c r="R345" s="34"/>
    </row>
    <row r="346">
      <c r="K346" s="34"/>
      <c r="L346" s="34"/>
      <c r="Q346" s="34"/>
      <c r="R346" s="34"/>
    </row>
    <row r="347">
      <c r="K347" s="34"/>
      <c r="L347" s="34"/>
      <c r="Q347" s="34"/>
      <c r="R347" s="34"/>
    </row>
    <row r="348">
      <c r="K348" s="34"/>
      <c r="L348" s="34"/>
      <c r="Q348" s="34"/>
      <c r="R348" s="34"/>
    </row>
    <row r="349">
      <c r="K349" s="34"/>
      <c r="L349" s="34"/>
      <c r="Q349" s="34"/>
      <c r="R349" s="34"/>
    </row>
    <row r="350">
      <c r="K350" s="34"/>
      <c r="L350" s="34"/>
      <c r="Q350" s="34"/>
      <c r="R350" s="34"/>
    </row>
    <row r="351">
      <c r="K351" s="34"/>
      <c r="L351" s="34"/>
      <c r="Q351" s="34"/>
      <c r="R351" s="34"/>
    </row>
    <row r="352">
      <c r="K352" s="34"/>
      <c r="L352" s="34"/>
      <c r="Q352" s="34"/>
      <c r="R352" s="34"/>
    </row>
    <row r="353">
      <c r="K353" s="34"/>
      <c r="L353" s="34"/>
      <c r="Q353" s="34"/>
      <c r="R353" s="34"/>
    </row>
    <row r="354">
      <c r="K354" s="34"/>
      <c r="L354" s="34"/>
      <c r="Q354" s="34"/>
      <c r="R354" s="34"/>
    </row>
    <row r="355">
      <c r="K355" s="34"/>
      <c r="L355" s="34"/>
      <c r="Q355" s="34"/>
      <c r="R355" s="34"/>
    </row>
    <row r="356">
      <c r="K356" s="34"/>
      <c r="L356" s="34"/>
      <c r="Q356" s="34"/>
      <c r="R356" s="34"/>
    </row>
    <row r="357">
      <c r="K357" s="34"/>
      <c r="L357" s="34"/>
      <c r="Q357" s="34"/>
      <c r="R357" s="34"/>
    </row>
    <row r="358">
      <c r="K358" s="34"/>
      <c r="L358" s="34"/>
      <c r="Q358" s="34"/>
      <c r="R358" s="34"/>
    </row>
    <row r="359">
      <c r="K359" s="34"/>
      <c r="L359" s="34"/>
      <c r="Q359" s="34"/>
      <c r="R359" s="34"/>
    </row>
    <row r="360">
      <c r="K360" s="34"/>
      <c r="L360" s="34"/>
      <c r="Q360" s="34"/>
      <c r="R360" s="34"/>
    </row>
    <row r="361">
      <c r="K361" s="34"/>
      <c r="L361" s="34"/>
      <c r="Q361" s="34"/>
      <c r="R361" s="34"/>
    </row>
    <row r="362">
      <c r="K362" s="34"/>
      <c r="L362" s="34"/>
      <c r="Q362" s="34"/>
      <c r="R362" s="34"/>
    </row>
    <row r="363">
      <c r="K363" s="34"/>
      <c r="L363" s="34"/>
      <c r="Q363" s="34"/>
      <c r="R363" s="34"/>
    </row>
    <row r="364">
      <c r="K364" s="34"/>
      <c r="L364" s="34"/>
      <c r="Q364" s="34"/>
      <c r="R364" s="34"/>
    </row>
    <row r="365">
      <c r="K365" s="34"/>
      <c r="L365" s="34"/>
      <c r="Q365" s="34"/>
      <c r="R365" s="34"/>
    </row>
    <row r="366">
      <c r="K366" s="34"/>
      <c r="L366" s="34"/>
      <c r="Q366" s="34"/>
      <c r="R366" s="34"/>
    </row>
    <row r="367">
      <c r="K367" s="34"/>
      <c r="L367" s="34"/>
      <c r="Q367" s="34"/>
      <c r="R367" s="34"/>
    </row>
    <row r="368">
      <c r="K368" s="34"/>
      <c r="L368" s="34"/>
      <c r="Q368" s="34"/>
      <c r="R368" s="34"/>
    </row>
    <row r="369">
      <c r="K369" s="34"/>
      <c r="L369" s="34"/>
      <c r="Q369" s="34"/>
      <c r="R369" s="34"/>
    </row>
    <row r="370">
      <c r="K370" s="34"/>
      <c r="L370" s="34"/>
      <c r="Q370" s="34"/>
      <c r="R370" s="34"/>
    </row>
    <row r="371">
      <c r="K371" s="34"/>
      <c r="L371" s="34"/>
      <c r="Q371" s="34"/>
      <c r="R371" s="34"/>
    </row>
    <row r="372">
      <c r="K372" s="34"/>
      <c r="L372" s="34"/>
      <c r="Q372" s="34"/>
      <c r="R372" s="34"/>
    </row>
    <row r="373">
      <c r="K373" s="34"/>
      <c r="L373" s="34"/>
      <c r="Q373" s="34"/>
      <c r="R373" s="34"/>
    </row>
    <row r="374">
      <c r="K374" s="34"/>
      <c r="L374" s="34"/>
      <c r="Q374" s="34"/>
      <c r="R374" s="34"/>
    </row>
    <row r="375">
      <c r="K375" s="34"/>
      <c r="L375" s="34"/>
      <c r="Q375" s="34"/>
      <c r="R375" s="34"/>
    </row>
    <row r="376">
      <c r="K376" s="34"/>
      <c r="L376" s="34"/>
      <c r="Q376" s="34"/>
      <c r="R376" s="34"/>
    </row>
    <row r="377">
      <c r="K377" s="34"/>
      <c r="L377" s="34"/>
      <c r="Q377" s="34"/>
      <c r="R377" s="34"/>
    </row>
    <row r="378">
      <c r="K378" s="34"/>
      <c r="L378" s="34"/>
      <c r="Q378" s="34"/>
      <c r="R378" s="34"/>
    </row>
    <row r="379">
      <c r="K379" s="34"/>
      <c r="L379" s="34"/>
      <c r="Q379" s="34"/>
      <c r="R379" s="34"/>
    </row>
    <row r="380">
      <c r="K380" s="34"/>
      <c r="L380" s="34"/>
      <c r="Q380" s="34"/>
      <c r="R380" s="34"/>
    </row>
    <row r="381">
      <c r="K381" s="34"/>
      <c r="L381" s="34"/>
      <c r="Q381" s="34"/>
      <c r="R381" s="34"/>
    </row>
    <row r="382">
      <c r="K382" s="34"/>
      <c r="L382" s="34"/>
      <c r="Q382" s="34"/>
      <c r="R382" s="34"/>
    </row>
    <row r="383">
      <c r="K383" s="34"/>
      <c r="L383" s="34"/>
      <c r="Q383" s="34"/>
      <c r="R383" s="34"/>
    </row>
    <row r="384">
      <c r="K384" s="34"/>
      <c r="L384" s="34"/>
      <c r="Q384" s="34"/>
      <c r="R384" s="34"/>
    </row>
    <row r="385">
      <c r="K385" s="34"/>
      <c r="L385" s="34"/>
      <c r="Q385" s="34"/>
      <c r="R385" s="34"/>
    </row>
    <row r="386">
      <c r="K386" s="34"/>
      <c r="L386" s="34"/>
      <c r="Q386" s="34"/>
      <c r="R386" s="34"/>
    </row>
    <row r="387">
      <c r="K387" s="34"/>
      <c r="L387" s="34"/>
      <c r="Q387" s="34"/>
      <c r="R387" s="34"/>
    </row>
    <row r="388">
      <c r="K388" s="34"/>
      <c r="L388" s="34"/>
      <c r="Q388" s="34"/>
      <c r="R388" s="34"/>
    </row>
    <row r="389">
      <c r="K389" s="34"/>
      <c r="L389" s="34"/>
      <c r="Q389" s="34"/>
      <c r="R389" s="34"/>
    </row>
    <row r="390">
      <c r="K390" s="34"/>
      <c r="L390" s="34"/>
      <c r="Q390" s="34"/>
      <c r="R390" s="34"/>
    </row>
    <row r="391">
      <c r="K391" s="34"/>
      <c r="L391" s="34"/>
      <c r="Q391" s="34"/>
      <c r="R391" s="34"/>
    </row>
    <row r="392">
      <c r="K392" s="34"/>
      <c r="L392" s="34"/>
      <c r="Q392" s="34"/>
      <c r="R392" s="34"/>
    </row>
    <row r="393">
      <c r="K393" s="34"/>
      <c r="L393" s="34"/>
      <c r="Q393" s="34"/>
      <c r="R393" s="34"/>
    </row>
    <row r="394">
      <c r="K394" s="34"/>
      <c r="L394" s="34"/>
      <c r="Q394" s="34"/>
      <c r="R394" s="34"/>
    </row>
    <row r="395">
      <c r="K395" s="34"/>
      <c r="L395" s="34"/>
      <c r="Q395" s="34"/>
      <c r="R395" s="34"/>
    </row>
    <row r="396">
      <c r="K396" s="34"/>
      <c r="L396" s="34"/>
      <c r="Q396" s="34"/>
      <c r="R396" s="34"/>
    </row>
    <row r="397">
      <c r="K397" s="34"/>
      <c r="L397" s="34"/>
      <c r="Q397" s="34"/>
      <c r="R397" s="34"/>
    </row>
    <row r="398">
      <c r="K398" s="34"/>
      <c r="L398" s="34"/>
      <c r="Q398" s="34"/>
      <c r="R398" s="34"/>
    </row>
    <row r="399">
      <c r="K399" s="34"/>
      <c r="L399" s="34"/>
      <c r="Q399" s="34"/>
      <c r="R399" s="34"/>
    </row>
    <row r="400">
      <c r="K400" s="34"/>
      <c r="L400" s="34"/>
      <c r="Q400" s="34"/>
      <c r="R400" s="34"/>
    </row>
    <row r="401">
      <c r="K401" s="34"/>
      <c r="L401" s="34"/>
      <c r="Q401" s="34"/>
      <c r="R401" s="34"/>
    </row>
    <row r="402">
      <c r="K402" s="34"/>
      <c r="L402" s="34"/>
      <c r="Q402" s="34"/>
      <c r="R402" s="34"/>
    </row>
    <row r="403">
      <c r="K403" s="34"/>
      <c r="L403" s="34"/>
      <c r="Q403" s="34"/>
      <c r="R403" s="34"/>
    </row>
    <row r="404">
      <c r="K404" s="34"/>
      <c r="L404" s="34"/>
      <c r="Q404" s="34"/>
      <c r="R404" s="34"/>
    </row>
    <row r="405">
      <c r="K405" s="34"/>
      <c r="L405" s="34"/>
      <c r="Q405" s="34"/>
      <c r="R405" s="34"/>
    </row>
    <row r="406">
      <c r="K406" s="34"/>
      <c r="L406" s="34"/>
      <c r="Q406" s="34"/>
      <c r="R406" s="34"/>
    </row>
    <row r="407">
      <c r="K407" s="34"/>
      <c r="L407" s="34"/>
      <c r="Q407" s="34"/>
      <c r="R407" s="34"/>
    </row>
    <row r="408">
      <c r="K408" s="34"/>
      <c r="L408" s="34"/>
      <c r="Q408" s="34"/>
      <c r="R408" s="34"/>
    </row>
    <row r="409">
      <c r="K409" s="34"/>
      <c r="L409" s="34"/>
      <c r="Q409" s="34"/>
      <c r="R409" s="34"/>
    </row>
    <row r="410">
      <c r="K410" s="34"/>
      <c r="L410" s="34"/>
      <c r="Q410" s="34"/>
      <c r="R410" s="34"/>
    </row>
    <row r="411">
      <c r="K411" s="34"/>
      <c r="L411" s="34"/>
      <c r="Q411" s="34"/>
      <c r="R411" s="34"/>
    </row>
    <row r="412">
      <c r="K412" s="34"/>
      <c r="L412" s="34"/>
      <c r="Q412" s="34"/>
      <c r="R412" s="34"/>
    </row>
    <row r="413">
      <c r="K413" s="34"/>
      <c r="L413" s="34"/>
      <c r="Q413" s="34"/>
      <c r="R413" s="34"/>
    </row>
    <row r="414">
      <c r="K414" s="34"/>
      <c r="L414" s="34"/>
      <c r="Q414" s="34"/>
      <c r="R414" s="34"/>
    </row>
    <row r="415">
      <c r="K415" s="34"/>
      <c r="L415" s="34"/>
      <c r="Q415" s="34"/>
      <c r="R415" s="34"/>
    </row>
    <row r="416">
      <c r="K416" s="34"/>
      <c r="L416" s="34"/>
      <c r="Q416" s="34"/>
      <c r="R416" s="34"/>
    </row>
    <row r="417">
      <c r="K417" s="34"/>
      <c r="L417" s="34"/>
      <c r="Q417" s="34"/>
      <c r="R417" s="34"/>
    </row>
    <row r="418">
      <c r="K418" s="34"/>
      <c r="L418" s="34"/>
      <c r="Q418" s="34"/>
      <c r="R418" s="34"/>
    </row>
    <row r="419">
      <c r="K419" s="34"/>
      <c r="L419" s="34"/>
      <c r="Q419" s="34"/>
      <c r="R419" s="34"/>
    </row>
    <row r="420">
      <c r="K420" s="34"/>
      <c r="L420" s="34"/>
      <c r="Q420" s="34"/>
      <c r="R420" s="34"/>
    </row>
    <row r="421">
      <c r="K421" s="34"/>
      <c r="L421" s="34"/>
      <c r="Q421" s="34"/>
      <c r="R421" s="34"/>
    </row>
    <row r="422">
      <c r="K422" s="34"/>
      <c r="L422" s="34"/>
      <c r="Q422" s="34"/>
      <c r="R422" s="34"/>
    </row>
    <row r="423">
      <c r="K423" s="34"/>
      <c r="L423" s="34"/>
      <c r="Q423" s="34"/>
      <c r="R423" s="34"/>
    </row>
    <row r="424">
      <c r="K424" s="34"/>
      <c r="L424" s="34"/>
      <c r="Q424" s="34"/>
      <c r="R424" s="34"/>
    </row>
    <row r="425">
      <c r="K425" s="34"/>
      <c r="L425" s="34"/>
      <c r="Q425" s="34"/>
      <c r="R425" s="34"/>
    </row>
    <row r="426">
      <c r="K426" s="34"/>
      <c r="L426" s="34"/>
      <c r="Q426" s="34"/>
      <c r="R426" s="34"/>
    </row>
    <row r="427">
      <c r="K427" s="34"/>
      <c r="L427" s="34"/>
      <c r="Q427" s="34"/>
      <c r="R427" s="34"/>
    </row>
    <row r="428">
      <c r="K428" s="34"/>
      <c r="L428" s="34"/>
      <c r="Q428" s="34"/>
      <c r="R428" s="34"/>
    </row>
    <row r="429">
      <c r="K429" s="34"/>
      <c r="L429" s="34"/>
      <c r="Q429" s="34"/>
      <c r="R429" s="34"/>
    </row>
    <row r="430">
      <c r="K430" s="34"/>
      <c r="L430" s="34"/>
      <c r="Q430" s="34"/>
      <c r="R430" s="34"/>
    </row>
    <row r="431">
      <c r="K431" s="34"/>
      <c r="L431" s="34"/>
      <c r="Q431" s="34"/>
      <c r="R431" s="34"/>
    </row>
    <row r="432">
      <c r="K432" s="34"/>
      <c r="L432" s="34"/>
      <c r="Q432" s="34"/>
      <c r="R432" s="34"/>
    </row>
    <row r="433">
      <c r="K433" s="34"/>
      <c r="L433" s="34"/>
      <c r="Q433" s="34"/>
      <c r="R433" s="34"/>
    </row>
    <row r="434">
      <c r="K434" s="34"/>
      <c r="L434" s="34"/>
      <c r="Q434" s="34"/>
      <c r="R434" s="34"/>
    </row>
    <row r="435">
      <c r="K435" s="34"/>
      <c r="L435" s="34"/>
      <c r="Q435" s="34"/>
      <c r="R435" s="34"/>
    </row>
    <row r="436">
      <c r="K436" s="34"/>
      <c r="L436" s="34"/>
      <c r="Q436" s="34"/>
      <c r="R436" s="34"/>
    </row>
    <row r="437">
      <c r="K437" s="34"/>
      <c r="L437" s="34"/>
      <c r="Q437" s="34"/>
      <c r="R437" s="34"/>
    </row>
    <row r="438">
      <c r="K438" s="34"/>
      <c r="L438" s="34"/>
      <c r="Q438" s="34"/>
      <c r="R438" s="34"/>
    </row>
    <row r="439">
      <c r="K439" s="34"/>
      <c r="L439" s="34"/>
      <c r="Q439" s="34"/>
      <c r="R439" s="34"/>
    </row>
    <row r="440">
      <c r="K440" s="34"/>
      <c r="L440" s="34"/>
      <c r="Q440" s="34"/>
      <c r="R440" s="34"/>
    </row>
    <row r="441">
      <c r="K441" s="34"/>
      <c r="L441" s="34"/>
      <c r="Q441" s="34"/>
      <c r="R441" s="34"/>
    </row>
    <row r="442">
      <c r="K442" s="34"/>
      <c r="L442" s="34"/>
      <c r="Q442" s="34"/>
      <c r="R442" s="34"/>
    </row>
    <row r="443">
      <c r="K443" s="34"/>
      <c r="L443" s="34"/>
      <c r="Q443" s="34"/>
      <c r="R443" s="34"/>
    </row>
    <row r="444">
      <c r="K444" s="34"/>
      <c r="L444" s="34"/>
      <c r="Q444" s="34"/>
      <c r="R444" s="34"/>
    </row>
    <row r="445">
      <c r="K445" s="34"/>
      <c r="L445" s="34"/>
      <c r="Q445" s="34"/>
      <c r="R445" s="34"/>
    </row>
    <row r="446">
      <c r="K446" s="34"/>
      <c r="L446" s="34"/>
      <c r="Q446" s="34"/>
      <c r="R446" s="34"/>
    </row>
    <row r="447">
      <c r="K447" s="34"/>
      <c r="L447" s="34"/>
      <c r="Q447" s="34"/>
      <c r="R447" s="34"/>
    </row>
    <row r="448">
      <c r="K448" s="34"/>
      <c r="L448" s="34"/>
      <c r="Q448" s="34"/>
      <c r="R448" s="34"/>
    </row>
    <row r="449">
      <c r="K449" s="34"/>
      <c r="L449" s="34"/>
      <c r="Q449" s="34"/>
      <c r="R449" s="34"/>
    </row>
    <row r="450">
      <c r="K450" s="34"/>
      <c r="L450" s="34"/>
      <c r="Q450" s="34"/>
      <c r="R450" s="34"/>
    </row>
    <row r="451">
      <c r="K451" s="34"/>
      <c r="L451" s="34"/>
      <c r="Q451" s="34"/>
      <c r="R451" s="34"/>
    </row>
    <row r="452">
      <c r="K452" s="34"/>
      <c r="L452" s="34"/>
      <c r="Q452" s="34"/>
      <c r="R452" s="34"/>
    </row>
    <row r="453">
      <c r="K453" s="34"/>
      <c r="L453" s="34"/>
      <c r="Q453" s="34"/>
      <c r="R453" s="34"/>
    </row>
    <row r="454">
      <c r="K454" s="34"/>
      <c r="L454" s="34"/>
      <c r="Q454" s="34"/>
      <c r="R454" s="34"/>
    </row>
    <row r="455">
      <c r="K455" s="34"/>
      <c r="L455" s="34"/>
      <c r="Q455" s="34"/>
      <c r="R455" s="34"/>
    </row>
    <row r="456">
      <c r="K456" s="34"/>
      <c r="L456" s="34"/>
      <c r="Q456" s="34"/>
      <c r="R456" s="34"/>
    </row>
    <row r="457">
      <c r="K457" s="34"/>
      <c r="L457" s="34"/>
      <c r="Q457" s="34"/>
      <c r="R457" s="34"/>
    </row>
    <row r="458">
      <c r="K458" s="34"/>
      <c r="L458" s="34"/>
      <c r="Q458" s="34"/>
      <c r="R458" s="34"/>
    </row>
    <row r="459">
      <c r="K459" s="34"/>
      <c r="L459" s="34"/>
      <c r="Q459" s="34"/>
      <c r="R459" s="34"/>
    </row>
    <row r="460">
      <c r="K460" s="34"/>
      <c r="L460" s="34"/>
      <c r="Q460" s="34"/>
      <c r="R460" s="34"/>
    </row>
    <row r="461">
      <c r="K461" s="34"/>
      <c r="L461" s="34"/>
      <c r="Q461" s="34"/>
      <c r="R461" s="34"/>
    </row>
    <row r="462">
      <c r="K462" s="34"/>
      <c r="L462" s="34"/>
      <c r="Q462" s="34"/>
      <c r="R462" s="34"/>
    </row>
    <row r="463">
      <c r="K463" s="34"/>
      <c r="L463" s="34"/>
      <c r="Q463" s="34"/>
      <c r="R463" s="34"/>
    </row>
    <row r="464">
      <c r="K464" s="34"/>
      <c r="L464" s="34"/>
      <c r="Q464" s="34"/>
      <c r="R464" s="34"/>
    </row>
    <row r="465">
      <c r="K465" s="34"/>
      <c r="L465" s="34"/>
      <c r="Q465" s="34"/>
      <c r="R465" s="34"/>
    </row>
    <row r="466">
      <c r="K466" s="34"/>
      <c r="L466" s="34"/>
      <c r="Q466" s="34"/>
      <c r="R466" s="34"/>
    </row>
    <row r="467">
      <c r="K467" s="34"/>
      <c r="L467" s="34"/>
      <c r="Q467" s="34"/>
      <c r="R467" s="34"/>
    </row>
    <row r="468">
      <c r="K468" s="34"/>
      <c r="L468" s="34"/>
      <c r="Q468" s="34"/>
      <c r="R468" s="34"/>
    </row>
    <row r="469">
      <c r="K469" s="34"/>
      <c r="L469" s="34"/>
      <c r="Q469" s="34"/>
      <c r="R469" s="34"/>
    </row>
    <row r="470">
      <c r="K470" s="34"/>
      <c r="L470" s="34"/>
      <c r="Q470" s="34"/>
      <c r="R470" s="34"/>
    </row>
    <row r="471">
      <c r="K471" s="34"/>
      <c r="L471" s="34"/>
      <c r="Q471" s="34"/>
      <c r="R471" s="34"/>
    </row>
    <row r="472">
      <c r="K472" s="34"/>
      <c r="L472" s="34"/>
      <c r="Q472" s="34"/>
      <c r="R472" s="34"/>
    </row>
    <row r="473">
      <c r="K473" s="34"/>
      <c r="L473" s="34"/>
      <c r="Q473" s="34"/>
      <c r="R473" s="34"/>
    </row>
    <row r="474">
      <c r="K474" s="34"/>
      <c r="L474" s="34"/>
      <c r="Q474" s="34"/>
      <c r="R474" s="34"/>
    </row>
    <row r="475">
      <c r="K475" s="34"/>
      <c r="L475" s="34"/>
      <c r="Q475" s="34"/>
      <c r="R475" s="34"/>
    </row>
    <row r="476">
      <c r="K476" s="34"/>
      <c r="L476" s="34"/>
      <c r="Q476" s="34"/>
      <c r="R476" s="34"/>
    </row>
    <row r="477">
      <c r="K477" s="34"/>
      <c r="L477" s="34"/>
      <c r="Q477" s="34"/>
      <c r="R477" s="34"/>
    </row>
    <row r="478">
      <c r="K478" s="34"/>
      <c r="L478" s="34"/>
      <c r="Q478" s="34"/>
      <c r="R478" s="34"/>
    </row>
    <row r="479">
      <c r="K479" s="34"/>
      <c r="L479" s="34"/>
      <c r="Q479" s="34"/>
      <c r="R479" s="34"/>
    </row>
    <row r="480">
      <c r="K480" s="34"/>
      <c r="L480" s="34"/>
      <c r="Q480" s="34"/>
      <c r="R480" s="34"/>
    </row>
    <row r="481">
      <c r="K481" s="34"/>
      <c r="L481" s="34"/>
      <c r="Q481" s="34"/>
      <c r="R481" s="34"/>
    </row>
    <row r="482">
      <c r="K482" s="34"/>
      <c r="L482" s="34"/>
      <c r="Q482" s="34"/>
      <c r="R482" s="34"/>
    </row>
    <row r="483">
      <c r="K483" s="34"/>
      <c r="L483" s="34"/>
      <c r="Q483" s="34"/>
      <c r="R483" s="34"/>
    </row>
    <row r="484">
      <c r="K484" s="34"/>
      <c r="L484" s="34"/>
      <c r="Q484" s="34"/>
      <c r="R484" s="34"/>
    </row>
    <row r="485">
      <c r="K485" s="34"/>
      <c r="L485" s="34"/>
      <c r="Q485" s="34"/>
      <c r="R485" s="34"/>
    </row>
    <row r="486">
      <c r="K486" s="34"/>
      <c r="L486" s="34"/>
      <c r="Q486" s="34"/>
      <c r="R486" s="34"/>
    </row>
    <row r="487">
      <c r="K487" s="34"/>
      <c r="L487" s="34"/>
      <c r="Q487" s="34"/>
      <c r="R487" s="34"/>
    </row>
    <row r="488">
      <c r="K488" s="34"/>
      <c r="L488" s="34"/>
      <c r="Q488" s="34"/>
      <c r="R488" s="34"/>
    </row>
    <row r="489">
      <c r="K489" s="34"/>
      <c r="L489" s="34"/>
      <c r="Q489" s="34"/>
      <c r="R489" s="34"/>
    </row>
    <row r="490">
      <c r="K490" s="34"/>
      <c r="L490" s="34"/>
      <c r="Q490" s="34"/>
      <c r="R490" s="34"/>
    </row>
    <row r="491">
      <c r="K491" s="34"/>
      <c r="L491" s="34"/>
      <c r="Q491" s="34"/>
      <c r="R491" s="34"/>
    </row>
    <row r="492">
      <c r="K492" s="34"/>
      <c r="L492" s="34"/>
      <c r="Q492" s="34"/>
      <c r="R492" s="34"/>
    </row>
    <row r="493">
      <c r="K493" s="34"/>
      <c r="L493" s="34"/>
      <c r="Q493" s="34"/>
      <c r="R493" s="34"/>
    </row>
    <row r="494">
      <c r="K494" s="34"/>
      <c r="L494" s="34"/>
      <c r="Q494" s="34"/>
      <c r="R494" s="34"/>
    </row>
    <row r="495">
      <c r="K495" s="34"/>
      <c r="L495" s="34"/>
      <c r="Q495" s="34"/>
      <c r="R495" s="34"/>
    </row>
    <row r="496">
      <c r="K496" s="34"/>
      <c r="L496" s="34"/>
      <c r="Q496" s="34"/>
      <c r="R496" s="34"/>
    </row>
    <row r="497">
      <c r="K497" s="34"/>
      <c r="L497" s="34"/>
      <c r="Q497" s="34"/>
      <c r="R497" s="34"/>
    </row>
    <row r="498">
      <c r="K498" s="34"/>
      <c r="L498" s="34"/>
      <c r="Q498" s="34"/>
      <c r="R498" s="34"/>
    </row>
    <row r="499">
      <c r="K499" s="34"/>
      <c r="L499" s="34"/>
      <c r="Q499" s="34"/>
      <c r="R499" s="34"/>
    </row>
    <row r="500">
      <c r="K500" s="34"/>
      <c r="L500" s="34"/>
      <c r="Q500" s="34"/>
      <c r="R500" s="34"/>
    </row>
    <row r="501">
      <c r="K501" s="34"/>
      <c r="L501" s="34"/>
      <c r="Q501" s="34"/>
      <c r="R501" s="34"/>
    </row>
    <row r="502">
      <c r="K502" s="34"/>
      <c r="L502" s="34"/>
      <c r="Q502" s="34"/>
      <c r="R502" s="34"/>
    </row>
    <row r="503">
      <c r="K503" s="34"/>
      <c r="L503" s="34"/>
      <c r="Q503" s="34"/>
      <c r="R503" s="34"/>
    </row>
    <row r="504">
      <c r="K504" s="34"/>
      <c r="L504" s="34"/>
      <c r="Q504" s="34"/>
      <c r="R504" s="34"/>
    </row>
    <row r="505">
      <c r="K505" s="34"/>
      <c r="L505" s="34"/>
      <c r="Q505" s="34"/>
      <c r="R505" s="34"/>
    </row>
    <row r="506">
      <c r="K506" s="34"/>
      <c r="L506" s="34"/>
      <c r="Q506" s="34"/>
      <c r="R506" s="34"/>
    </row>
    <row r="507">
      <c r="K507" s="34"/>
      <c r="L507" s="34"/>
      <c r="Q507" s="34"/>
      <c r="R507" s="34"/>
    </row>
    <row r="508">
      <c r="K508" s="34"/>
      <c r="L508" s="34"/>
      <c r="Q508" s="34"/>
      <c r="R508" s="34"/>
    </row>
    <row r="509">
      <c r="K509" s="34"/>
      <c r="L509" s="34"/>
      <c r="Q509" s="34"/>
      <c r="R509" s="34"/>
    </row>
    <row r="510">
      <c r="K510" s="34"/>
      <c r="L510" s="34"/>
      <c r="Q510" s="34"/>
      <c r="R510" s="34"/>
    </row>
    <row r="511">
      <c r="K511" s="34"/>
      <c r="L511" s="34"/>
      <c r="Q511" s="34"/>
      <c r="R511" s="34"/>
    </row>
    <row r="512">
      <c r="K512" s="34"/>
      <c r="L512" s="34"/>
      <c r="Q512" s="34"/>
      <c r="R512" s="34"/>
    </row>
    <row r="513">
      <c r="K513" s="34"/>
      <c r="L513" s="34"/>
      <c r="Q513" s="34"/>
      <c r="R513" s="34"/>
    </row>
    <row r="514">
      <c r="K514" s="34"/>
      <c r="L514" s="34"/>
      <c r="Q514" s="34"/>
      <c r="R514" s="34"/>
    </row>
    <row r="515">
      <c r="K515" s="34"/>
      <c r="L515" s="34"/>
      <c r="Q515" s="34"/>
      <c r="R515" s="34"/>
    </row>
    <row r="516">
      <c r="K516" s="34"/>
      <c r="L516" s="34"/>
      <c r="Q516" s="34"/>
      <c r="R516" s="34"/>
    </row>
    <row r="517">
      <c r="K517" s="34"/>
      <c r="L517" s="34"/>
      <c r="Q517" s="34"/>
      <c r="R517" s="34"/>
    </row>
    <row r="518">
      <c r="K518" s="34"/>
      <c r="L518" s="34"/>
      <c r="Q518" s="34"/>
      <c r="R518" s="34"/>
    </row>
    <row r="519">
      <c r="K519" s="34"/>
      <c r="L519" s="34"/>
      <c r="Q519" s="34"/>
      <c r="R519" s="34"/>
    </row>
    <row r="520">
      <c r="K520" s="34"/>
      <c r="L520" s="34"/>
      <c r="Q520" s="34"/>
      <c r="R520" s="34"/>
    </row>
    <row r="521">
      <c r="K521" s="34"/>
      <c r="L521" s="34"/>
      <c r="Q521" s="34"/>
      <c r="R521" s="34"/>
    </row>
    <row r="522">
      <c r="K522" s="34"/>
      <c r="L522" s="34"/>
      <c r="Q522" s="34"/>
      <c r="R522" s="34"/>
    </row>
    <row r="523">
      <c r="K523" s="34"/>
      <c r="L523" s="34"/>
      <c r="Q523" s="34"/>
      <c r="R523" s="34"/>
    </row>
    <row r="524">
      <c r="K524" s="34"/>
      <c r="L524" s="34"/>
      <c r="Q524" s="34"/>
      <c r="R524" s="34"/>
    </row>
    <row r="525">
      <c r="K525" s="34"/>
      <c r="L525" s="34"/>
      <c r="Q525" s="34"/>
      <c r="R525" s="34"/>
    </row>
    <row r="526">
      <c r="K526" s="34"/>
      <c r="L526" s="34"/>
      <c r="Q526" s="34"/>
      <c r="R526" s="34"/>
    </row>
    <row r="527">
      <c r="K527" s="34"/>
      <c r="L527" s="34"/>
      <c r="Q527" s="34"/>
      <c r="R527" s="34"/>
    </row>
    <row r="528">
      <c r="K528" s="34"/>
      <c r="L528" s="34"/>
      <c r="Q528" s="34"/>
      <c r="R528" s="34"/>
    </row>
    <row r="529">
      <c r="K529" s="34"/>
      <c r="L529" s="34"/>
      <c r="Q529" s="34"/>
      <c r="R529" s="34"/>
    </row>
    <row r="530">
      <c r="K530" s="34"/>
      <c r="L530" s="34"/>
      <c r="Q530" s="34"/>
      <c r="R530" s="34"/>
    </row>
    <row r="531">
      <c r="K531" s="34"/>
      <c r="L531" s="34"/>
      <c r="Q531" s="34"/>
      <c r="R531" s="34"/>
    </row>
    <row r="532">
      <c r="K532" s="34"/>
      <c r="L532" s="34"/>
      <c r="Q532" s="34"/>
      <c r="R532" s="34"/>
    </row>
    <row r="533">
      <c r="K533" s="34"/>
      <c r="L533" s="34"/>
      <c r="Q533" s="34"/>
      <c r="R533" s="34"/>
    </row>
    <row r="534">
      <c r="K534" s="34"/>
      <c r="L534" s="34"/>
      <c r="Q534" s="34"/>
      <c r="R534" s="34"/>
    </row>
    <row r="535">
      <c r="K535" s="34"/>
      <c r="L535" s="34"/>
      <c r="Q535" s="34"/>
      <c r="R535" s="34"/>
    </row>
    <row r="536">
      <c r="K536" s="34"/>
      <c r="L536" s="34"/>
      <c r="Q536" s="34"/>
      <c r="R536" s="34"/>
    </row>
    <row r="537">
      <c r="K537" s="34"/>
      <c r="L537" s="34"/>
      <c r="Q537" s="34"/>
      <c r="R537" s="34"/>
    </row>
    <row r="538">
      <c r="K538" s="34"/>
      <c r="L538" s="34"/>
      <c r="Q538" s="34"/>
      <c r="R538" s="34"/>
    </row>
    <row r="539">
      <c r="K539" s="34"/>
      <c r="L539" s="34"/>
      <c r="Q539" s="34"/>
      <c r="R539" s="34"/>
    </row>
    <row r="540">
      <c r="K540" s="34"/>
      <c r="L540" s="34"/>
      <c r="Q540" s="34"/>
      <c r="R540" s="34"/>
    </row>
    <row r="541">
      <c r="K541" s="34"/>
      <c r="L541" s="34"/>
      <c r="Q541" s="34"/>
      <c r="R541" s="34"/>
    </row>
    <row r="542">
      <c r="K542" s="34"/>
      <c r="L542" s="34"/>
      <c r="Q542" s="34"/>
      <c r="R542" s="34"/>
    </row>
    <row r="543">
      <c r="K543" s="34"/>
      <c r="L543" s="34"/>
      <c r="Q543" s="34"/>
      <c r="R543" s="34"/>
    </row>
    <row r="544">
      <c r="K544" s="34"/>
      <c r="L544" s="34"/>
      <c r="Q544" s="34"/>
      <c r="R544" s="34"/>
    </row>
    <row r="545">
      <c r="K545" s="34"/>
      <c r="L545" s="34"/>
      <c r="Q545" s="34"/>
      <c r="R545" s="34"/>
    </row>
    <row r="546">
      <c r="K546" s="34"/>
      <c r="L546" s="34"/>
      <c r="Q546" s="34"/>
      <c r="R546" s="34"/>
    </row>
    <row r="547">
      <c r="K547" s="34"/>
      <c r="L547" s="34"/>
      <c r="Q547" s="34"/>
      <c r="R547" s="34"/>
    </row>
    <row r="548">
      <c r="K548" s="34"/>
      <c r="L548" s="34"/>
      <c r="Q548" s="34"/>
      <c r="R548" s="34"/>
    </row>
    <row r="549">
      <c r="K549" s="34"/>
      <c r="L549" s="34"/>
      <c r="Q549" s="34"/>
      <c r="R549" s="34"/>
    </row>
    <row r="550">
      <c r="K550" s="34"/>
      <c r="L550" s="34"/>
      <c r="Q550" s="34"/>
      <c r="R550" s="34"/>
    </row>
    <row r="551">
      <c r="K551" s="34"/>
      <c r="L551" s="34"/>
      <c r="Q551" s="34"/>
      <c r="R551" s="34"/>
    </row>
    <row r="552">
      <c r="K552" s="34"/>
      <c r="L552" s="34"/>
      <c r="Q552" s="34"/>
      <c r="R552" s="34"/>
    </row>
    <row r="553">
      <c r="K553" s="34"/>
      <c r="L553" s="34"/>
      <c r="Q553" s="34"/>
      <c r="R553" s="34"/>
    </row>
    <row r="554">
      <c r="K554" s="34"/>
      <c r="L554" s="34"/>
      <c r="Q554" s="34"/>
      <c r="R554" s="34"/>
    </row>
    <row r="555">
      <c r="K555" s="34"/>
      <c r="L555" s="34"/>
      <c r="Q555" s="34"/>
      <c r="R555" s="34"/>
    </row>
    <row r="556">
      <c r="K556" s="34"/>
      <c r="L556" s="34"/>
      <c r="Q556" s="34"/>
      <c r="R556" s="34"/>
    </row>
    <row r="557">
      <c r="K557" s="34"/>
      <c r="L557" s="34"/>
      <c r="Q557" s="34"/>
      <c r="R557" s="34"/>
    </row>
    <row r="558">
      <c r="K558" s="34"/>
      <c r="L558" s="34"/>
      <c r="Q558" s="34"/>
      <c r="R558" s="34"/>
    </row>
    <row r="559">
      <c r="K559" s="34"/>
      <c r="L559" s="34"/>
      <c r="Q559" s="34"/>
      <c r="R559" s="34"/>
    </row>
    <row r="560">
      <c r="K560" s="34"/>
      <c r="L560" s="34"/>
      <c r="Q560" s="34"/>
      <c r="R560" s="34"/>
    </row>
    <row r="561">
      <c r="K561" s="34"/>
      <c r="L561" s="34"/>
      <c r="Q561" s="34"/>
      <c r="R561" s="34"/>
    </row>
    <row r="562">
      <c r="K562" s="34"/>
      <c r="L562" s="34"/>
      <c r="Q562" s="34"/>
      <c r="R562" s="34"/>
    </row>
    <row r="563">
      <c r="K563" s="34"/>
      <c r="L563" s="34"/>
      <c r="Q563" s="34"/>
      <c r="R563" s="34"/>
    </row>
    <row r="564">
      <c r="K564" s="34"/>
      <c r="L564" s="34"/>
      <c r="Q564" s="34"/>
      <c r="R564" s="34"/>
    </row>
    <row r="565">
      <c r="K565" s="34"/>
      <c r="L565" s="34"/>
      <c r="Q565" s="34"/>
      <c r="R565" s="34"/>
    </row>
    <row r="566">
      <c r="K566" s="34"/>
      <c r="L566" s="34"/>
      <c r="Q566" s="34"/>
      <c r="R566" s="34"/>
    </row>
    <row r="567">
      <c r="K567" s="34"/>
      <c r="L567" s="34"/>
      <c r="Q567" s="34"/>
      <c r="R567" s="34"/>
    </row>
    <row r="568">
      <c r="K568" s="34"/>
      <c r="L568" s="34"/>
      <c r="Q568" s="34"/>
      <c r="R568" s="34"/>
    </row>
    <row r="569">
      <c r="K569" s="34"/>
      <c r="L569" s="34"/>
      <c r="Q569" s="34"/>
      <c r="R569" s="34"/>
    </row>
    <row r="570">
      <c r="K570" s="34"/>
      <c r="L570" s="34"/>
      <c r="Q570" s="34"/>
      <c r="R570" s="34"/>
    </row>
    <row r="571">
      <c r="K571" s="34"/>
      <c r="L571" s="34"/>
      <c r="Q571" s="34"/>
      <c r="R571" s="34"/>
    </row>
    <row r="572">
      <c r="K572" s="34"/>
      <c r="L572" s="34"/>
      <c r="Q572" s="34"/>
      <c r="R572" s="34"/>
    </row>
    <row r="573">
      <c r="K573" s="34"/>
      <c r="L573" s="34"/>
      <c r="Q573" s="34"/>
      <c r="R573" s="34"/>
    </row>
    <row r="574">
      <c r="K574" s="34"/>
      <c r="L574" s="34"/>
      <c r="Q574" s="34"/>
      <c r="R574" s="34"/>
    </row>
    <row r="575">
      <c r="K575" s="34"/>
      <c r="L575" s="34"/>
      <c r="Q575" s="34"/>
      <c r="R575" s="34"/>
    </row>
    <row r="576">
      <c r="K576" s="34"/>
      <c r="L576" s="34"/>
      <c r="Q576" s="34"/>
      <c r="R576" s="34"/>
    </row>
    <row r="577">
      <c r="K577" s="34"/>
      <c r="L577" s="34"/>
      <c r="Q577" s="34"/>
      <c r="R577" s="34"/>
    </row>
    <row r="578">
      <c r="K578" s="34"/>
      <c r="L578" s="34"/>
      <c r="Q578" s="34"/>
      <c r="R578" s="34"/>
    </row>
    <row r="579">
      <c r="K579" s="34"/>
      <c r="L579" s="34"/>
      <c r="Q579" s="34"/>
      <c r="R579" s="34"/>
    </row>
    <row r="580">
      <c r="K580" s="34"/>
      <c r="L580" s="34"/>
      <c r="Q580" s="34"/>
      <c r="R580" s="34"/>
    </row>
    <row r="581">
      <c r="K581" s="34"/>
      <c r="L581" s="34"/>
      <c r="Q581" s="34"/>
      <c r="R581" s="34"/>
    </row>
    <row r="582">
      <c r="K582" s="34"/>
      <c r="L582" s="34"/>
      <c r="Q582" s="34"/>
      <c r="R582" s="34"/>
    </row>
    <row r="583">
      <c r="K583" s="34"/>
      <c r="L583" s="34"/>
      <c r="Q583" s="34"/>
      <c r="R583" s="34"/>
    </row>
    <row r="584">
      <c r="K584" s="34"/>
      <c r="L584" s="34"/>
      <c r="Q584" s="34"/>
      <c r="R584" s="34"/>
    </row>
    <row r="585">
      <c r="K585" s="34"/>
      <c r="L585" s="34"/>
      <c r="Q585" s="34"/>
      <c r="R585" s="34"/>
    </row>
    <row r="586">
      <c r="K586" s="34"/>
      <c r="L586" s="34"/>
      <c r="Q586" s="34"/>
      <c r="R586" s="34"/>
    </row>
    <row r="587">
      <c r="K587" s="34"/>
      <c r="L587" s="34"/>
      <c r="Q587" s="34"/>
      <c r="R587" s="34"/>
    </row>
    <row r="588">
      <c r="K588" s="34"/>
      <c r="L588" s="34"/>
      <c r="Q588" s="34"/>
      <c r="R588" s="34"/>
    </row>
    <row r="589">
      <c r="K589" s="34"/>
      <c r="L589" s="34"/>
      <c r="Q589" s="34"/>
      <c r="R589" s="34"/>
    </row>
    <row r="590">
      <c r="K590" s="34"/>
      <c r="L590" s="34"/>
      <c r="Q590" s="34"/>
      <c r="R590" s="34"/>
    </row>
    <row r="591">
      <c r="K591" s="34"/>
      <c r="L591" s="34"/>
      <c r="Q591" s="34"/>
      <c r="R591" s="34"/>
    </row>
    <row r="592">
      <c r="K592" s="34"/>
      <c r="L592" s="34"/>
      <c r="Q592" s="34"/>
      <c r="R592" s="34"/>
    </row>
    <row r="593">
      <c r="K593" s="34"/>
      <c r="L593" s="34"/>
      <c r="Q593" s="34"/>
      <c r="R593" s="34"/>
    </row>
    <row r="594">
      <c r="K594" s="34"/>
      <c r="L594" s="34"/>
      <c r="Q594" s="34"/>
      <c r="R594" s="34"/>
    </row>
    <row r="595">
      <c r="K595" s="34"/>
      <c r="L595" s="34"/>
      <c r="Q595" s="34"/>
      <c r="R595" s="34"/>
    </row>
    <row r="596">
      <c r="K596" s="34"/>
      <c r="L596" s="34"/>
      <c r="Q596" s="34"/>
      <c r="R596" s="34"/>
    </row>
    <row r="597">
      <c r="K597" s="34"/>
      <c r="L597" s="34"/>
      <c r="Q597" s="34"/>
      <c r="R597" s="34"/>
    </row>
    <row r="598">
      <c r="K598" s="34"/>
      <c r="L598" s="34"/>
      <c r="Q598" s="34"/>
      <c r="R598" s="34"/>
    </row>
    <row r="599">
      <c r="K599" s="34"/>
      <c r="L599" s="34"/>
      <c r="Q599" s="34"/>
      <c r="R599" s="34"/>
    </row>
    <row r="600">
      <c r="K600" s="34"/>
      <c r="L600" s="34"/>
      <c r="Q600" s="34"/>
      <c r="R600" s="34"/>
    </row>
    <row r="601">
      <c r="K601" s="34"/>
      <c r="L601" s="34"/>
      <c r="Q601" s="34"/>
      <c r="R601" s="34"/>
    </row>
    <row r="602">
      <c r="K602" s="34"/>
      <c r="L602" s="34"/>
      <c r="Q602" s="34"/>
      <c r="R602" s="34"/>
    </row>
    <row r="603">
      <c r="K603" s="34"/>
      <c r="L603" s="34"/>
      <c r="Q603" s="34"/>
      <c r="R603" s="34"/>
    </row>
    <row r="604">
      <c r="K604" s="34"/>
      <c r="L604" s="34"/>
      <c r="Q604" s="34"/>
      <c r="R604" s="34"/>
    </row>
    <row r="605">
      <c r="K605" s="34"/>
      <c r="L605" s="34"/>
      <c r="Q605" s="34"/>
      <c r="R605" s="34"/>
    </row>
    <row r="606">
      <c r="K606" s="34"/>
      <c r="L606" s="34"/>
      <c r="Q606" s="34"/>
      <c r="R606" s="34"/>
    </row>
    <row r="607">
      <c r="K607" s="34"/>
      <c r="L607" s="34"/>
      <c r="Q607" s="34"/>
      <c r="R607" s="34"/>
    </row>
    <row r="608">
      <c r="K608" s="34"/>
      <c r="L608" s="34"/>
      <c r="Q608" s="34"/>
      <c r="R608" s="34"/>
    </row>
    <row r="609">
      <c r="K609" s="34"/>
      <c r="L609" s="34"/>
      <c r="Q609" s="34"/>
      <c r="R609" s="34"/>
    </row>
    <row r="610">
      <c r="K610" s="34"/>
      <c r="L610" s="34"/>
      <c r="Q610" s="34"/>
      <c r="R610" s="34"/>
    </row>
    <row r="611">
      <c r="K611" s="34"/>
      <c r="L611" s="34"/>
      <c r="Q611" s="34"/>
      <c r="R611" s="34"/>
    </row>
    <row r="612">
      <c r="K612" s="34"/>
      <c r="L612" s="34"/>
      <c r="Q612" s="34"/>
      <c r="R612" s="34"/>
    </row>
    <row r="613">
      <c r="K613" s="34"/>
      <c r="L613" s="34"/>
      <c r="Q613" s="34"/>
      <c r="R613" s="34"/>
    </row>
    <row r="614">
      <c r="K614" s="34"/>
      <c r="L614" s="34"/>
      <c r="Q614" s="34"/>
      <c r="R614" s="34"/>
    </row>
    <row r="615">
      <c r="K615" s="34"/>
      <c r="L615" s="34"/>
      <c r="Q615" s="34"/>
      <c r="R615" s="34"/>
    </row>
    <row r="616">
      <c r="K616" s="34"/>
      <c r="L616" s="34"/>
      <c r="Q616" s="34"/>
      <c r="R616" s="34"/>
    </row>
    <row r="617">
      <c r="K617" s="34"/>
      <c r="L617" s="34"/>
      <c r="Q617" s="34"/>
      <c r="R617" s="34"/>
    </row>
    <row r="618">
      <c r="K618" s="34"/>
      <c r="L618" s="34"/>
      <c r="Q618" s="34"/>
      <c r="R618" s="34"/>
    </row>
    <row r="619">
      <c r="K619" s="34"/>
      <c r="L619" s="34"/>
      <c r="Q619" s="34"/>
      <c r="R619" s="34"/>
    </row>
    <row r="620">
      <c r="K620" s="34"/>
      <c r="L620" s="34"/>
      <c r="Q620" s="34"/>
      <c r="R620" s="34"/>
    </row>
    <row r="621">
      <c r="K621" s="34"/>
      <c r="L621" s="34"/>
      <c r="Q621" s="34"/>
      <c r="R621" s="34"/>
    </row>
    <row r="622">
      <c r="K622" s="34"/>
      <c r="L622" s="34"/>
      <c r="Q622" s="34"/>
      <c r="R622" s="34"/>
    </row>
    <row r="623">
      <c r="K623" s="34"/>
      <c r="L623" s="34"/>
      <c r="Q623" s="34"/>
      <c r="R623" s="34"/>
    </row>
    <row r="624">
      <c r="K624" s="34"/>
      <c r="L624" s="34"/>
      <c r="Q624" s="34"/>
      <c r="R624" s="34"/>
    </row>
    <row r="625">
      <c r="K625" s="34"/>
      <c r="L625" s="34"/>
      <c r="Q625" s="34"/>
      <c r="R625" s="34"/>
    </row>
    <row r="626">
      <c r="K626" s="34"/>
      <c r="L626" s="34"/>
      <c r="Q626" s="34"/>
      <c r="R626" s="34"/>
    </row>
    <row r="627">
      <c r="K627" s="34"/>
      <c r="L627" s="34"/>
      <c r="Q627" s="34"/>
      <c r="R627" s="34"/>
    </row>
    <row r="628">
      <c r="K628" s="34"/>
      <c r="L628" s="34"/>
      <c r="Q628" s="34"/>
      <c r="R628" s="34"/>
    </row>
    <row r="629">
      <c r="K629" s="34"/>
      <c r="L629" s="34"/>
      <c r="Q629" s="34"/>
      <c r="R629" s="34"/>
    </row>
    <row r="630">
      <c r="K630" s="34"/>
      <c r="L630" s="34"/>
      <c r="Q630" s="34"/>
      <c r="R630" s="34"/>
    </row>
    <row r="631">
      <c r="K631" s="34"/>
      <c r="L631" s="34"/>
      <c r="Q631" s="34"/>
      <c r="R631" s="34"/>
    </row>
    <row r="632">
      <c r="K632" s="34"/>
      <c r="L632" s="34"/>
      <c r="Q632" s="34"/>
      <c r="R632" s="34"/>
    </row>
    <row r="633">
      <c r="K633" s="34"/>
      <c r="L633" s="34"/>
      <c r="Q633" s="34"/>
      <c r="R633" s="34"/>
    </row>
    <row r="634">
      <c r="K634" s="34"/>
      <c r="L634" s="34"/>
      <c r="Q634" s="34"/>
      <c r="R634" s="34"/>
    </row>
    <row r="635">
      <c r="K635" s="34"/>
      <c r="L635" s="34"/>
      <c r="Q635" s="34"/>
      <c r="R635" s="34"/>
    </row>
    <row r="636">
      <c r="K636" s="34"/>
      <c r="L636" s="34"/>
      <c r="Q636" s="34"/>
      <c r="R636" s="34"/>
    </row>
    <row r="637">
      <c r="K637" s="34"/>
      <c r="L637" s="34"/>
      <c r="Q637" s="34"/>
      <c r="R637" s="34"/>
    </row>
    <row r="638">
      <c r="K638" s="34"/>
      <c r="L638" s="34"/>
      <c r="Q638" s="34"/>
      <c r="R638" s="34"/>
    </row>
    <row r="639">
      <c r="K639" s="34"/>
      <c r="L639" s="34"/>
      <c r="Q639" s="34"/>
      <c r="R639" s="34"/>
    </row>
    <row r="640">
      <c r="K640" s="34"/>
      <c r="L640" s="34"/>
      <c r="Q640" s="34"/>
      <c r="R640" s="34"/>
    </row>
    <row r="641">
      <c r="K641" s="34"/>
      <c r="L641" s="34"/>
      <c r="Q641" s="34"/>
      <c r="R641" s="34"/>
    </row>
    <row r="642">
      <c r="K642" s="34"/>
      <c r="L642" s="34"/>
      <c r="Q642" s="34"/>
      <c r="R642" s="34"/>
    </row>
    <row r="643">
      <c r="K643" s="34"/>
      <c r="L643" s="34"/>
      <c r="Q643" s="34"/>
      <c r="R643" s="34"/>
    </row>
    <row r="644">
      <c r="K644" s="34"/>
      <c r="L644" s="34"/>
      <c r="Q644" s="34"/>
      <c r="R644" s="34"/>
    </row>
    <row r="645">
      <c r="K645" s="34"/>
      <c r="L645" s="34"/>
      <c r="Q645" s="34"/>
      <c r="R645" s="34"/>
    </row>
    <row r="646">
      <c r="K646" s="34"/>
      <c r="L646" s="34"/>
      <c r="Q646" s="34"/>
      <c r="R646" s="34"/>
    </row>
    <row r="647">
      <c r="K647" s="34"/>
      <c r="L647" s="34"/>
      <c r="Q647" s="34"/>
      <c r="R647" s="34"/>
    </row>
    <row r="648">
      <c r="K648" s="34"/>
      <c r="L648" s="34"/>
      <c r="Q648" s="34"/>
      <c r="R648" s="34"/>
    </row>
    <row r="649">
      <c r="K649" s="34"/>
      <c r="L649" s="34"/>
      <c r="Q649" s="34"/>
      <c r="R649" s="34"/>
    </row>
    <row r="650">
      <c r="K650" s="34"/>
      <c r="L650" s="34"/>
      <c r="Q650" s="34"/>
      <c r="R650" s="34"/>
    </row>
    <row r="651">
      <c r="K651" s="34"/>
      <c r="L651" s="34"/>
      <c r="Q651" s="34"/>
      <c r="R651" s="34"/>
    </row>
    <row r="652">
      <c r="K652" s="34"/>
      <c r="L652" s="34"/>
      <c r="Q652" s="34"/>
      <c r="R652" s="34"/>
    </row>
    <row r="653">
      <c r="K653" s="34"/>
      <c r="L653" s="34"/>
      <c r="Q653" s="34"/>
      <c r="R653" s="34"/>
    </row>
    <row r="654">
      <c r="K654" s="34"/>
      <c r="L654" s="34"/>
      <c r="Q654" s="34"/>
      <c r="R654" s="34"/>
    </row>
    <row r="655">
      <c r="K655" s="34"/>
      <c r="L655" s="34"/>
      <c r="Q655" s="34"/>
      <c r="R655" s="34"/>
    </row>
    <row r="656">
      <c r="K656" s="34"/>
      <c r="L656" s="34"/>
      <c r="Q656" s="34"/>
      <c r="R656" s="34"/>
    </row>
    <row r="657">
      <c r="K657" s="34"/>
      <c r="L657" s="34"/>
      <c r="Q657" s="34"/>
      <c r="R657" s="34"/>
    </row>
    <row r="658">
      <c r="K658" s="34"/>
      <c r="L658" s="34"/>
      <c r="Q658" s="34"/>
      <c r="R658" s="34"/>
    </row>
    <row r="659">
      <c r="K659" s="34"/>
      <c r="L659" s="34"/>
      <c r="Q659" s="34"/>
      <c r="R659" s="34"/>
    </row>
    <row r="660">
      <c r="K660" s="34"/>
      <c r="L660" s="34"/>
      <c r="Q660" s="34"/>
      <c r="R660" s="34"/>
    </row>
    <row r="661">
      <c r="K661" s="34"/>
      <c r="L661" s="34"/>
      <c r="Q661" s="34"/>
      <c r="R661" s="34"/>
    </row>
    <row r="662">
      <c r="K662" s="34"/>
      <c r="L662" s="34"/>
      <c r="Q662" s="34"/>
      <c r="R662" s="34"/>
    </row>
    <row r="663">
      <c r="K663" s="34"/>
      <c r="L663" s="34"/>
      <c r="Q663" s="34"/>
      <c r="R663" s="34"/>
    </row>
    <row r="664">
      <c r="K664" s="34"/>
      <c r="L664" s="34"/>
      <c r="Q664" s="34"/>
      <c r="R664" s="34"/>
    </row>
    <row r="665">
      <c r="K665" s="34"/>
      <c r="L665" s="34"/>
      <c r="Q665" s="34"/>
      <c r="R665" s="34"/>
    </row>
    <row r="666">
      <c r="K666" s="34"/>
      <c r="L666" s="34"/>
      <c r="Q666" s="34"/>
      <c r="R666" s="34"/>
    </row>
    <row r="667">
      <c r="K667" s="34"/>
      <c r="L667" s="34"/>
      <c r="Q667" s="34"/>
      <c r="R667" s="34"/>
    </row>
    <row r="668">
      <c r="K668" s="34"/>
      <c r="L668" s="34"/>
      <c r="Q668" s="34"/>
      <c r="R668" s="34"/>
    </row>
    <row r="669">
      <c r="K669" s="34"/>
      <c r="L669" s="34"/>
      <c r="Q669" s="34"/>
      <c r="R669" s="34"/>
    </row>
    <row r="670">
      <c r="K670" s="34"/>
      <c r="L670" s="34"/>
      <c r="Q670" s="34"/>
      <c r="R670" s="34"/>
    </row>
    <row r="671">
      <c r="K671" s="34"/>
      <c r="L671" s="34"/>
      <c r="Q671" s="34"/>
      <c r="R671" s="34"/>
    </row>
    <row r="672">
      <c r="K672" s="34"/>
      <c r="L672" s="34"/>
      <c r="Q672" s="34"/>
      <c r="R672" s="34"/>
    </row>
    <row r="673">
      <c r="K673" s="34"/>
      <c r="L673" s="34"/>
      <c r="Q673" s="34"/>
      <c r="R673" s="34"/>
    </row>
    <row r="674">
      <c r="K674" s="34"/>
      <c r="L674" s="34"/>
      <c r="Q674" s="34"/>
      <c r="R674" s="34"/>
    </row>
    <row r="675">
      <c r="K675" s="34"/>
      <c r="L675" s="34"/>
      <c r="Q675" s="34"/>
      <c r="R675" s="34"/>
    </row>
    <row r="676">
      <c r="K676" s="34"/>
      <c r="L676" s="34"/>
      <c r="Q676" s="34"/>
      <c r="R676" s="34"/>
    </row>
    <row r="677">
      <c r="K677" s="34"/>
      <c r="L677" s="34"/>
      <c r="Q677" s="34"/>
      <c r="R677" s="34"/>
    </row>
    <row r="678">
      <c r="K678" s="34"/>
      <c r="L678" s="34"/>
      <c r="Q678" s="34"/>
      <c r="R678" s="34"/>
    </row>
    <row r="679">
      <c r="K679" s="34"/>
      <c r="L679" s="34"/>
      <c r="Q679" s="34"/>
      <c r="R679" s="34"/>
    </row>
    <row r="680">
      <c r="K680" s="34"/>
      <c r="L680" s="34"/>
      <c r="Q680" s="34"/>
      <c r="R680" s="34"/>
    </row>
    <row r="681">
      <c r="K681" s="34"/>
      <c r="L681" s="34"/>
      <c r="Q681" s="34"/>
      <c r="R681" s="34"/>
    </row>
    <row r="682">
      <c r="K682" s="34"/>
      <c r="L682" s="34"/>
      <c r="Q682" s="34"/>
      <c r="R682" s="34"/>
    </row>
    <row r="683">
      <c r="K683" s="34"/>
      <c r="L683" s="34"/>
      <c r="Q683" s="34"/>
      <c r="R683" s="34"/>
    </row>
    <row r="684">
      <c r="K684" s="34"/>
      <c r="L684" s="34"/>
      <c r="Q684" s="34"/>
      <c r="R684" s="34"/>
    </row>
    <row r="685">
      <c r="K685" s="34"/>
      <c r="L685" s="34"/>
      <c r="Q685" s="34"/>
      <c r="R685" s="34"/>
    </row>
    <row r="686">
      <c r="K686" s="34"/>
      <c r="L686" s="34"/>
      <c r="Q686" s="34"/>
      <c r="R686" s="34"/>
    </row>
    <row r="687">
      <c r="K687" s="34"/>
      <c r="L687" s="34"/>
      <c r="Q687" s="34"/>
      <c r="R687" s="34"/>
    </row>
    <row r="688">
      <c r="K688" s="34"/>
      <c r="L688" s="34"/>
      <c r="Q688" s="34"/>
      <c r="R688" s="34"/>
    </row>
    <row r="689">
      <c r="K689" s="34"/>
      <c r="L689" s="34"/>
      <c r="Q689" s="34"/>
      <c r="R689" s="34"/>
    </row>
    <row r="690">
      <c r="K690" s="34"/>
      <c r="L690" s="34"/>
      <c r="Q690" s="34"/>
      <c r="R690" s="34"/>
    </row>
    <row r="691">
      <c r="K691" s="34"/>
      <c r="L691" s="34"/>
      <c r="Q691" s="34"/>
      <c r="R691" s="34"/>
    </row>
    <row r="692">
      <c r="K692" s="34"/>
      <c r="L692" s="34"/>
      <c r="Q692" s="34"/>
      <c r="R692" s="34"/>
    </row>
    <row r="693">
      <c r="K693" s="34"/>
      <c r="L693" s="34"/>
      <c r="Q693" s="34"/>
      <c r="R693" s="34"/>
    </row>
    <row r="694">
      <c r="K694" s="34"/>
      <c r="L694" s="34"/>
      <c r="Q694" s="34"/>
      <c r="R694" s="34"/>
    </row>
    <row r="695">
      <c r="K695" s="34"/>
      <c r="L695" s="34"/>
      <c r="Q695" s="34"/>
      <c r="R695" s="34"/>
    </row>
    <row r="696">
      <c r="K696" s="34"/>
      <c r="L696" s="34"/>
      <c r="Q696" s="34"/>
      <c r="R696" s="34"/>
    </row>
    <row r="697">
      <c r="K697" s="34"/>
      <c r="L697" s="34"/>
      <c r="Q697" s="34"/>
      <c r="R697" s="34"/>
    </row>
    <row r="698">
      <c r="K698" s="34"/>
      <c r="L698" s="34"/>
      <c r="Q698" s="34"/>
      <c r="R698" s="34"/>
    </row>
    <row r="699">
      <c r="K699" s="34"/>
      <c r="L699" s="34"/>
      <c r="Q699" s="34"/>
      <c r="R699" s="34"/>
    </row>
    <row r="700">
      <c r="K700" s="34"/>
      <c r="L700" s="34"/>
      <c r="Q700" s="34"/>
      <c r="R700" s="34"/>
    </row>
    <row r="701">
      <c r="K701" s="34"/>
      <c r="L701" s="34"/>
      <c r="Q701" s="34"/>
      <c r="R701" s="34"/>
    </row>
    <row r="702">
      <c r="K702" s="34"/>
      <c r="L702" s="34"/>
      <c r="Q702" s="34"/>
      <c r="R702" s="34"/>
    </row>
    <row r="703">
      <c r="K703" s="34"/>
      <c r="L703" s="34"/>
      <c r="Q703" s="34"/>
      <c r="R703" s="34"/>
    </row>
    <row r="704">
      <c r="K704" s="34"/>
      <c r="L704" s="34"/>
      <c r="Q704" s="34"/>
      <c r="R704" s="34"/>
    </row>
    <row r="705">
      <c r="K705" s="34"/>
      <c r="L705" s="34"/>
      <c r="Q705" s="34"/>
      <c r="R705" s="34"/>
    </row>
    <row r="706">
      <c r="K706" s="34"/>
      <c r="L706" s="34"/>
      <c r="Q706" s="34"/>
      <c r="R706" s="34"/>
    </row>
    <row r="707">
      <c r="K707" s="34"/>
      <c r="L707" s="34"/>
      <c r="Q707" s="34"/>
      <c r="R707" s="34"/>
    </row>
    <row r="708">
      <c r="K708" s="34"/>
      <c r="L708" s="34"/>
      <c r="Q708" s="34"/>
      <c r="R708" s="34"/>
    </row>
    <row r="709">
      <c r="K709" s="34"/>
      <c r="L709" s="34"/>
      <c r="Q709" s="34"/>
      <c r="R709" s="34"/>
    </row>
    <row r="710">
      <c r="K710" s="34"/>
      <c r="L710" s="34"/>
      <c r="Q710" s="34"/>
      <c r="R710" s="34"/>
    </row>
    <row r="711">
      <c r="K711" s="34"/>
      <c r="L711" s="34"/>
      <c r="Q711" s="34"/>
      <c r="R711" s="34"/>
    </row>
    <row r="712">
      <c r="K712" s="34"/>
      <c r="L712" s="34"/>
      <c r="Q712" s="34"/>
      <c r="R712" s="34"/>
    </row>
    <row r="713">
      <c r="K713" s="34"/>
      <c r="L713" s="34"/>
      <c r="Q713" s="34"/>
      <c r="R713" s="34"/>
    </row>
    <row r="714">
      <c r="K714" s="34"/>
      <c r="L714" s="34"/>
      <c r="Q714" s="34"/>
      <c r="R714" s="34"/>
    </row>
    <row r="715">
      <c r="K715" s="34"/>
      <c r="L715" s="34"/>
      <c r="Q715" s="34"/>
      <c r="R715" s="34"/>
    </row>
    <row r="716">
      <c r="K716" s="34"/>
      <c r="L716" s="34"/>
      <c r="Q716" s="34"/>
      <c r="R716" s="34"/>
    </row>
    <row r="717">
      <c r="K717" s="34"/>
      <c r="L717" s="34"/>
      <c r="Q717" s="34"/>
      <c r="R717" s="34"/>
    </row>
    <row r="718">
      <c r="K718" s="34"/>
      <c r="L718" s="34"/>
      <c r="Q718" s="34"/>
      <c r="R718" s="34"/>
    </row>
    <row r="719">
      <c r="K719" s="34"/>
      <c r="L719" s="34"/>
      <c r="Q719" s="34"/>
      <c r="R719" s="34"/>
    </row>
    <row r="720">
      <c r="K720" s="34"/>
      <c r="L720" s="34"/>
      <c r="Q720" s="34"/>
      <c r="R720" s="34"/>
    </row>
    <row r="721">
      <c r="K721" s="34"/>
      <c r="L721" s="34"/>
      <c r="Q721" s="34"/>
      <c r="R721" s="34"/>
    </row>
    <row r="722">
      <c r="K722" s="34"/>
      <c r="L722" s="34"/>
      <c r="Q722" s="34"/>
      <c r="R722" s="34"/>
    </row>
    <row r="723">
      <c r="K723" s="34"/>
      <c r="L723" s="34"/>
      <c r="Q723" s="34"/>
      <c r="R723" s="34"/>
    </row>
    <row r="724">
      <c r="K724" s="34"/>
      <c r="L724" s="34"/>
      <c r="Q724" s="34"/>
      <c r="R724" s="34"/>
    </row>
    <row r="725">
      <c r="K725" s="34"/>
      <c r="L725" s="34"/>
      <c r="Q725" s="34"/>
      <c r="R725" s="34"/>
    </row>
    <row r="726">
      <c r="K726" s="34"/>
      <c r="L726" s="34"/>
      <c r="Q726" s="34"/>
      <c r="R726" s="34"/>
    </row>
    <row r="727">
      <c r="K727" s="34"/>
      <c r="L727" s="34"/>
      <c r="Q727" s="34"/>
      <c r="R727" s="34"/>
    </row>
    <row r="728">
      <c r="K728" s="34"/>
      <c r="L728" s="34"/>
      <c r="Q728" s="34"/>
      <c r="R728" s="34"/>
    </row>
    <row r="729">
      <c r="K729" s="34"/>
      <c r="L729" s="34"/>
      <c r="Q729" s="34"/>
      <c r="R729" s="34"/>
    </row>
    <row r="730">
      <c r="K730" s="34"/>
      <c r="L730" s="34"/>
      <c r="Q730" s="34"/>
      <c r="R730" s="34"/>
    </row>
    <row r="731">
      <c r="K731" s="34"/>
      <c r="L731" s="34"/>
      <c r="Q731" s="34"/>
      <c r="R731" s="34"/>
    </row>
    <row r="732">
      <c r="K732" s="34"/>
      <c r="L732" s="34"/>
      <c r="Q732" s="34"/>
      <c r="R732" s="34"/>
    </row>
    <row r="733">
      <c r="K733" s="34"/>
      <c r="L733" s="34"/>
      <c r="Q733" s="34"/>
      <c r="R733" s="34"/>
    </row>
    <row r="734">
      <c r="K734" s="34"/>
      <c r="L734" s="34"/>
      <c r="Q734" s="34"/>
      <c r="R734" s="34"/>
    </row>
    <row r="735">
      <c r="K735" s="34"/>
      <c r="L735" s="34"/>
      <c r="Q735" s="34"/>
      <c r="R735" s="34"/>
    </row>
    <row r="736">
      <c r="K736" s="34"/>
      <c r="L736" s="34"/>
      <c r="Q736" s="34"/>
      <c r="R736" s="34"/>
    </row>
    <row r="737">
      <c r="K737" s="34"/>
      <c r="L737" s="34"/>
      <c r="Q737" s="34"/>
      <c r="R737" s="34"/>
    </row>
    <row r="738">
      <c r="K738" s="34"/>
      <c r="L738" s="34"/>
      <c r="Q738" s="34"/>
      <c r="R738" s="34"/>
    </row>
    <row r="739">
      <c r="K739" s="34"/>
      <c r="L739" s="34"/>
      <c r="Q739" s="34"/>
      <c r="R739" s="34"/>
    </row>
    <row r="740">
      <c r="K740" s="34"/>
      <c r="L740" s="34"/>
      <c r="Q740" s="34"/>
      <c r="R740" s="34"/>
    </row>
    <row r="741">
      <c r="K741" s="34"/>
      <c r="L741" s="34"/>
      <c r="Q741" s="34"/>
      <c r="R741" s="34"/>
    </row>
    <row r="742">
      <c r="K742" s="34"/>
      <c r="L742" s="34"/>
      <c r="Q742" s="34"/>
      <c r="R742" s="34"/>
    </row>
    <row r="743">
      <c r="K743" s="34"/>
      <c r="L743" s="34"/>
      <c r="Q743" s="34"/>
      <c r="R743" s="34"/>
    </row>
    <row r="744">
      <c r="K744" s="34"/>
      <c r="L744" s="34"/>
      <c r="Q744" s="34"/>
      <c r="R744" s="34"/>
    </row>
    <row r="745">
      <c r="K745" s="34"/>
      <c r="L745" s="34"/>
      <c r="Q745" s="34"/>
      <c r="R745" s="34"/>
    </row>
    <row r="746">
      <c r="K746" s="34"/>
      <c r="L746" s="34"/>
      <c r="Q746" s="34"/>
      <c r="R746" s="34"/>
    </row>
    <row r="747">
      <c r="K747" s="34"/>
      <c r="L747" s="34"/>
      <c r="Q747" s="34"/>
      <c r="R747" s="34"/>
    </row>
    <row r="748">
      <c r="K748" s="34"/>
      <c r="L748" s="34"/>
      <c r="Q748" s="34"/>
      <c r="R748" s="34"/>
    </row>
    <row r="749">
      <c r="K749" s="34"/>
      <c r="L749" s="34"/>
      <c r="Q749" s="34"/>
      <c r="R749" s="34"/>
    </row>
    <row r="750">
      <c r="K750" s="34"/>
      <c r="L750" s="34"/>
      <c r="Q750" s="34"/>
      <c r="R750" s="34"/>
    </row>
    <row r="751">
      <c r="K751" s="34"/>
      <c r="L751" s="34"/>
      <c r="Q751" s="34"/>
      <c r="R751" s="34"/>
    </row>
    <row r="752">
      <c r="K752" s="34"/>
      <c r="L752" s="34"/>
      <c r="Q752" s="34"/>
      <c r="R752" s="34"/>
    </row>
    <row r="753">
      <c r="K753" s="34"/>
      <c r="L753" s="34"/>
      <c r="Q753" s="34"/>
      <c r="R753" s="34"/>
    </row>
    <row r="754">
      <c r="K754" s="34"/>
      <c r="L754" s="34"/>
      <c r="Q754" s="34"/>
      <c r="R754" s="34"/>
    </row>
    <row r="755">
      <c r="K755" s="34"/>
      <c r="L755" s="34"/>
      <c r="Q755" s="34"/>
      <c r="R755" s="34"/>
    </row>
    <row r="756">
      <c r="K756" s="34"/>
      <c r="L756" s="34"/>
      <c r="Q756" s="34"/>
      <c r="R756" s="34"/>
    </row>
    <row r="757">
      <c r="K757" s="34"/>
      <c r="L757" s="34"/>
      <c r="Q757" s="34"/>
      <c r="R757" s="34"/>
    </row>
    <row r="758">
      <c r="K758" s="34"/>
      <c r="L758" s="34"/>
      <c r="Q758" s="34"/>
      <c r="R758" s="34"/>
    </row>
    <row r="759">
      <c r="K759" s="34"/>
      <c r="L759" s="34"/>
      <c r="Q759" s="34"/>
      <c r="R759" s="34"/>
    </row>
    <row r="760">
      <c r="K760" s="34"/>
      <c r="L760" s="34"/>
      <c r="Q760" s="34"/>
      <c r="R760" s="34"/>
    </row>
    <row r="761">
      <c r="K761" s="34"/>
      <c r="L761" s="34"/>
      <c r="Q761" s="34"/>
      <c r="R761" s="34"/>
    </row>
    <row r="762">
      <c r="K762" s="34"/>
      <c r="L762" s="34"/>
      <c r="Q762" s="34"/>
      <c r="R762" s="34"/>
    </row>
    <row r="763">
      <c r="K763" s="34"/>
      <c r="L763" s="34"/>
      <c r="Q763" s="34"/>
      <c r="R763" s="34"/>
    </row>
    <row r="764">
      <c r="K764" s="34"/>
      <c r="L764" s="34"/>
      <c r="Q764" s="34"/>
      <c r="R764" s="34"/>
    </row>
    <row r="765">
      <c r="K765" s="34"/>
      <c r="L765" s="34"/>
      <c r="Q765" s="34"/>
      <c r="R765" s="34"/>
    </row>
    <row r="766">
      <c r="K766" s="34"/>
      <c r="L766" s="34"/>
      <c r="Q766" s="34"/>
      <c r="R766" s="34"/>
    </row>
    <row r="767">
      <c r="K767" s="34"/>
      <c r="L767" s="34"/>
      <c r="Q767" s="34"/>
      <c r="R767" s="34"/>
    </row>
    <row r="768">
      <c r="K768" s="34"/>
      <c r="L768" s="34"/>
      <c r="Q768" s="34"/>
      <c r="R768" s="34"/>
    </row>
    <row r="769">
      <c r="K769" s="34"/>
      <c r="L769" s="34"/>
      <c r="Q769" s="34"/>
      <c r="R769" s="34"/>
    </row>
    <row r="770">
      <c r="K770" s="34"/>
      <c r="L770" s="34"/>
      <c r="Q770" s="34"/>
      <c r="R770" s="34"/>
    </row>
    <row r="771">
      <c r="K771" s="34"/>
      <c r="L771" s="34"/>
      <c r="Q771" s="34"/>
      <c r="R771" s="34"/>
    </row>
    <row r="772">
      <c r="K772" s="34"/>
      <c r="L772" s="34"/>
      <c r="Q772" s="34"/>
      <c r="R772" s="34"/>
    </row>
    <row r="773">
      <c r="K773" s="34"/>
      <c r="L773" s="34"/>
      <c r="Q773" s="34"/>
      <c r="R773" s="34"/>
    </row>
    <row r="774">
      <c r="K774" s="34"/>
      <c r="L774" s="34"/>
      <c r="Q774" s="34"/>
      <c r="R774" s="34"/>
    </row>
    <row r="775">
      <c r="K775" s="34"/>
      <c r="L775" s="34"/>
      <c r="Q775" s="34"/>
      <c r="R775" s="34"/>
    </row>
    <row r="776">
      <c r="K776" s="34"/>
      <c r="L776" s="34"/>
      <c r="Q776" s="34"/>
      <c r="R776" s="34"/>
    </row>
    <row r="777">
      <c r="K777" s="34"/>
      <c r="L777" s="34"/>
      <c r="Q777" s="34"/>
      <c r="R777" s="34"/>
    </row>
    <row r="778">
      <c r="K778" s="34"/>
      <c r="L778" s="34"/>
      <c r="Q778" s="34"/>
      <c r="R778" s="34"/>
    </row>
    <row r="779">
      <c r="K779" s="34"/>
      <c r="L779" s="34"/>
      <c r="Q779" s="34"/>
      <c r="R779" s="34"/>
    </row>
    <row r="780">
      <c r="K780" s="34"/>
      <c r="L780" s="34"/>
      <c r="Q780" s="34"/>
      <c r="R780" s="34"/>
    </row>
    <row r="781">
      <c r="K781" s="34"/>
      <c r="L781" s="34"/>
      <c r="Q781" s="34"/>
      <c r="R781" s="34"/>
    </row>
    <row r="782">
      <c r="K782" s="34"/>
      <c r="L782" s="34"/>
      <c r="Q782" s="34"/>
      <c r="R782" s="34"/>
    </row>
    <row r="783">
      <c r="K783" s="34"/>
      <c r="L783" s="34"/>
      <c r="Q783" s="34"/>
      <c r="R783" s="34"/>
    </row>
    <row r="784">
      <c r="K784" s="34"/>
      <c r="L784" s="34"/>
      <c r="Q784" s="34"/>
      <c r="R784" s="34"/>
    </row>
    <row r="785">
      <c r="K785" s="34"/>
      <c r="L785" s="34"/>
      <c r="Q785" s="34"/>
      <c r="R785" s="34"/>
    </row>
    <row r="786">
      <c r="K786" s="34"/>
      <c r="L786" s="34"/>
      <c r="Q786" s="34"/>
      <c r="R786" s="34"/>
    </row>
    <row r="787">
      <c r="K787" s="34"/>
      <c r="L787" s="34"/>
      <c r="Q787" s="34"/>
      <c r="R787" s="34"/>
    </row>
    <row r="788">
      <c r="K788" s="34"/>
      <c r="L788" s="34"/>
      <c r="Q788" s="34"/>
      <c r="R788" s="34"/>
    </row>
    <row r="789">
      <c r="K789" s="34"/>
      <c r="L789" s="34"/>
      <c r="Q789" s="34"/>
      <c r="R789" s="34"/>
    </row>
    <row r="790">
      <c r="K790" s="34"/>
      <c r="L790" s="34"/>
      <c r="Q790" s="34"/>
      <c r="R790" s="34"/>
    </row>
    <row r="791">
      <c r="K791" s="34"/>
      <c r="L791" s="34"/>
      <c r="Q791" s="34"/>
      <c r="R791" s="34"/>
    </row>
    <row r="792">
      <c r="K792" s="34"/>
      <c r="L792" s="34"/>
      <c r="Q792" s="34"/>
      <c r="R792" s="34"/>
    </row>
    <row r="793">
      <c r="K793" s="34"/>
      <c r="L793" s="34"/>
      <c r="Q793" s="34"/>
      <c r="R793" s="34"/>
    </row>
    <row r="794">
      <c r="K794" s="34"/>
      <c r="L794" s="34"/>
      <c r="Q794" s="34"/>
      <c r="R794" s="34"/>
    </row>
    <row r="795">
      <c r="K795" s="34"/>
      <c r="L795" s="34"/>
      <c r="Q795" s="34"/>
      <c r="R795" s="34"/>
    </row>
    <row r="796">
      <c r="K796" s="34"/>
      <c r="L796" s="34"/>
      <c r="Q796" s="34"/>
      <c r="R796" s="34"/>
    </row>
    <row r="797">
      <c r="K797" s="34"/>
      <c r="L797" s="34"/>
      <c r="Q797" s="34"/>
      <c r="R797" s="34"/>
    </row>
    <row r="798">
      <c r="K798" s="34"/>
      <c r="L798" s="34"/>
      <c r="Q798" s="34"/>
      <c r="R798" s="34"/>
    </row>
    <row r="799">
      <c r="K799" s="34"/>
      <c r="L799" s="34"/>
      <c r="Q799" s="34"/>
      <c r="R799" s="34"/>
    </row>
    <row r="800">
      <c r="K800" s="34"/>
      <c r="L800" s="34"/>
      <c r="Q800" s="34"/>
      <c r="R800" s="34"/>
    </row>
    <row r="801">
      <c r="K801" s="34"/>
      <c r="L801" s="34"/>
      <c r="Q801" s="34"/>
      <c r="R801" s="34"/>
    </row>
    <row r="802">
      <c r="K802" s="34"/>
      <c r="L802" s="34"/>
      <c r="Q802" s="34"/>
      <c r="R802" s="34"/>
    </row>
    <row r="803">
      <c r="K803" s="34"/>
      <c r="L803" s="34"/>
      <c r="Q803" s="34"/>
      <c r="R803" s="34"/>
    </row>
    <row r="804">
      <c r="K804" s="34"/>
      <c r="L804" s="34"/>
      <c r="Q804" s="34"/>
      <c r="R804" s="34"/>
    </row>
    <row r="805">
      <c r="K805" s="34"/>
      <c r="L805" s="34"/>
      <c r="Q805" s="34"/>
      <c r="R805" s="34"/>
    </row>
    <row r="806">
      <c r="K806" s="34"/>
      <c r="L806" s="34"/>
      <c r="Q806" s="34"/>
      <c r="R806" s="34"/>
    </row>
    <row r="807">
      <c r="K807" s="34"/>
      <c r="L807" s="34"/>
      <c r="Q807" s="34"/>
      <c r="R807" s="34"/>
    </row>
    <row r="808">
      <c r="K808" s="34"/>
      <c r="L808" s="34"/>
      <c r="Q808" s="34"/>
      <c r="R808" s="34"/>
    </row>
    <row r="809">
      <c r="K809" s="34"/>
      <c r="L809" s="34"/>
      <c r="Q809" s="34"/>
      <c r="R809" s="34"/>
    </row>
    <row r="810">
      <c r="K810" s="34"/>
      <c r="L810" s="34"/>
      <c r="Q810" s="34"/>
      <c r="R810" s="34"/>
    </row>
    <row r="811">
      <c r="K811" s="34"/>
      <c r="L811" s="34"/>
      <c r="Q811" s="34"/>
      <c r="R811" s="34"/>
    </row>
    <row r="812">
      <c r="K812" s="34"/>
      <c r="L812" s="34"/>
      <c r="Q812" s="34"/>
      <c r="R812" s="34"/>
    </row>
    <row r="813">
      <c r="K813" s="34"/>
      <c r="L813" s="34"/>
      <c r="Q813" s="34"/>
      <c r="R813" s="34"/>
    </row>
    <row r="814">
      <c r="K814" s="34"/>
      <c r="L814" s="34"/>
      <c r="Q814" s="34"/>
      <c r="R814" s="34"/>
    </row>
    <row r="815">
      <c r="K815" s="34"/>
      <c r="L815" s="34"/>
      <c r="Q815" s="34"/>
      <c r="R815" s="34"/>
    </row>
    <row r="816">
      <c r="K816" s="34"/>
      <c r="L816" s="34"/>
      <c r="Q816" s="34"/>
      <c r="R816" s="34"/>
    </row>
    <row r="817">
      <c r="K817" s="34"/>
      <c r="L817" s="34"/>
      <c r="Q817" s="34"/>
      <c r="R817" s="34"/>
    </row>
    <row r="818">
      <c r="K818" s="34"/>
      <c r="L818" s="34"/>
      <c r="Q818" s="34"/>
      <c r="R818" s="34"/>
    </row>
    <row r="819">
      <c r="K819" s="34"/>
      <c r="L819" s="34"/>
      <c r="Q819" s="34"/>
      <c r="R819" s="34"/>
    </row>
    <row r="820">
      <c r="K820" s="34"/>
      <c r="L820" s="34"/>
      <c r="Q820" s="34"/>
      <c r="R820" s="34"/>
    </row>
    <row r="821">
      <c r="K821" s="34"/>
      <c r="L821" s="34"/>
      <c r="Q821" s="34"/>
      <c r="R821" s="34"/>
    </row>
    <row r="822">
      <c r="K822" s="34"/>
      <c r="L822" s="34"/>
      <c r="Q822" s="34"/>
      <c r="R822" s="34"/>
    </row>
    <row r="823">
      <c r="K823" s="34"/>
      <c r="L823" s="34"/>
      <c r="Q823" s="34"/>
      <c r="R823" s="34"/>
    </row>
    <row r="824">
      <c r="K824" s="34"/>
      <c r="L824" s="34"/>
      <c r="Q824" s="34"/>
      <c r="R824" s="34"/>
    </row>
    <row r="825">
      <c r="K825" s="34"/>
      <c r="L825" s="34"/>
      <c r="Q825" s="34"/>
      <c r="R825" s="34"/>
    </row>
    <row r="826">
      <c r="K826" s="34"/>
      <c r="L826" s="34"/>
      <c r="Q826" s="34"/>
      <c r="R826" s="34"/>
    </row>
    <row r="827">
      <c r="K827" s="34"/>
      <c r="L827" s="34"/>
      <c r="Q827" s="34"/>
      <c r="R827" s="34"/>
    </row>
    <row r="828">
      <c r="K828" s="34"/>
      <c r="L828" s="34"/>
      <c r="Q828" s="34"/>
      <c r="R828" s="34"/>
    </row>
    <row r="829">
      <c r="K829" s="34"/>
      <c r="L829" s="34"/>
      <c r="Q829" s="34"/>
      <c r="R829" s="34"/>
    </row>
    <row r="830">
      <c r="K830" s="34"/>
      <c r="L830" s="34"/>
      <c r="Q830" s="34"/>
      <c r="R830" s="34"/>
    </row>
    <row r="831">
      <c r="K831" s="34"/>
      <c r="L831" s="34"/>
      <c r="Q831" s="34"/>
      <c r="R831" s="34"/>
    </row>
    <row r="832">
      <c r="K832" s="34"/>
      <c r="L832" s="34"/>
      <c r="Q832" s="34"/>
      <c r="R832" s="34"/>
    </row>
    <row r="833">
      <c r="K833" s="34"/>
      <c r="L833" s="34"/>
      <c r="Q833" s="34"/>
      <c r="R833" s="34"/>
    </row>
    <row r="834">
      <c r="K834" s="34"/>
      <c r="L834" s="34"/>
      <c r="Q834" s="34"/>
      <c r="R834" s="34"/>
    </row>
    <row r="835">
      <c r="K835" s="34"/>
      <c r="L835" s="34"/>
      <c r="Q835" s="34"/>
      <c r="R835" s="34"/>
    </row>
    <row r="836">
      <c r="K836" s="34"/>
      <c r="L836" s="34"/>
      <c r="Q836" s="34"/>
      <c r="R836" s="34"/>
    </row>
    <row r="837">
      <c r="K837" s="34"/>
      <c r="L837" s="34"/>
      <c r="Q837" s="34"/>
      <c r="R837" s="34"/>
    </row>
    <row r="838">
      <c r="K838" s="34"/>
      <c r="L838" s="34"/>
      <c r="Q838" s="34"/>
      <c r="R838" s="34"/>
    </row>
    <row r="839">
      <c r="K839" s="34"/>
      <c r="L839" s="34"/>
      <c r="Q839" s="34"/>
      <c r="R839" s="34"/>
    </row>
    <row r="840">
      <c r="K840" s="34"/>
      <c r="L840" s="34"/>
      <c r="Q840" s="34"/>
      <c r="R840" s="34"/>
    </row>
    <row r="841">
      <c r="K841" s="34"/>
      <c r="L841" s="34"/>
      <c r="Q841" s="34"/>
      <c r="R841" s="34"/>
    </row>
    <row r="842">
      <c r="K842" s="34"/>
      <c r="L842" s="34"/>
      <c r="Q842" s="34"/>
      <c r="R842" s="34"/>
    </row>
    <row r="843">
      <c r="K843" s="34"/>
      <c r="L843" s="34"/>
      <c r="Q843" s="34"/>
      <c r="R843" s="34"/>
    </row>
    <row r="844">
      <c r="K844" s="34"/>
      <c r="L844" s="34"/>
      <c r="Q844" s="34"/>
      <c r="R844" s="34"/>
    </row>
    <row r="845">
      <c r="K845" s="34"/>
      <c r="L845" s="34"/>
      <c r="Q845" s="34"/>
      <c r="R845" s="34"/>
    </row>
    <row r="846">
      <c r="K846" s="34"/>
      <c r="L846" s="34"/>
      <c r="Q846" s="34"/>
      <c r="R846" s="34"/>
    </row>
    <row r="847">
      <c r="K847" s="34"/>
      <c r="L847" s="34"/>
      <c r="Q847" s="34"/>
      <c r="R847" s="34"/>
    </row>
    <row r="848">
      <c r="K848" s="34"/>
      <c r="L848" s="34"/>
      <c r="Q848" s="34"/>
      <c r="R848" s="34"/>
    </row>
    <row r="849">
      <c r="K849" s="34"/>
      <c r="L849" s="34"/>
      <c r="Q849" s="34"/>
      <c r="R849" s="34"/>
    </row>
    <row r="850">
      <c r="K850" s="34"/>
      <c r="L850" s="34"/>
      <c r="Q850" s="34"/>
      <c r="R850" s="34"/>
    </row>
    <row r="851">
      <c r="K851" s="34"/>
      <c r="L851" s="34"/>
      <c r="Q851" s="34"/>
      <c r="R851" s="34"/>
    </row>
    <row r="852">
      <c r="K852" s="34"/>
      <c r="L852" s="34"/>
      <c r="Q852" s="34"/>
      <c r="R852" s="34"/>
    </row>
    <row r="853">
      <c r="K853" s="34"/>
      <c r="L853" s="34"/>
      <c r="Q853" s="34"/>
      <c r="R853" s="34"/>
    </row>
    <row r="854">
      <c r="K854" s="34"/>
      <c r="L854" s="34"/>
      <c r="Q854" s="34"/>
      <c r="R854" s="34"/>
    </row>
    <row r="855">
      <c r="K855" s="34"/>
      <c r="L855" s="34"/>
      <c r="Q855" s="34"/>
      <c r="R855" s="34"/>
    </row>
    <row r="856">
      <c r="K856" s="34"/>
      <c r="L856" s="34"/>
      <c r="Q856" s="34"/>
      <c r="R856" s="34"/>
    </row>
    <row r="857">
      <c r="K857" s="34"/>
      <c r="L857" s="34"/>
      <c r="Q857" s="34"/>
      <c r="R857" s="34"/>
    </row>
    <row r="858">
      <c r="K858" s="34"/>
      <c r="L858" s="34"/>
      <c r="Q858" s="34"/>
      <c r="R858" s="34"/>
    </row>
    <row r="859">
      <c r="K859" s="34"/>
      <c r="L859" s="34"/>
      <c r="Q859" s="34"/>
      <c r="R859" s="34"/>
    </row>
    <row r="860">
      <c r="K860" s="34"/>
      <c r="L860" s="34"/>
      <c r="Q860" s="34"/>
      <c r="R860" s="34"/>
    </row>
    <row r="861">
      <c r="K861" s="34"/>
      <c r="L861" s="34"/>
      <c r="Q861" s="34"/>
      <c r="R861" s="34"/>
    </row>
    <row r="862">
      <c r="K862" s="34"/>
      <c r="L862" s="34"/>
      <c r="Q862" s="34"/>
      <c r="R862" s="34"/>
    </row>
    <row r="863">
      <c r="K863" s="34"/>
      <c r="L863" s="34"/>
      <c r="Q863" s="34"/>
      <c r="R863" s="34"/>
    </row>
    <row r="864">
      <c r="K864" s="34"/>
      <c r="L864" s="34"/>
      <c r="Q864" s="34"/>
      <c r="R864" s="34"/>
    </row>
    <row r="865">
      <c r="K865" s="34"/>
      <c r="L865" s="34"/>
      <c r="Q865" s="34"/>
      <c r="R865" s="34"/>
    </row>
    <row r="866">
      <c r="K866" s="34"/>
      <c r="L866" s="34"/>
      <c r="Q866" s="34"/>
      <c r="R866" s="34"/>
    </row>
    <row r="867">
      <c r="K867" s="34"/>
      <c r="L867" s="34"/>
      <c r="Q867" s="34"/>
      <c r="R867" s="34"/>
    </row>
    <row r="868">
      <c r="K868" s="34"/>
      <c r="L868" s="34"/>
      <c r="Q868" s="34"/>
      <c r="R868" s="34"/>
    </row>
    <row r="869">
      <c r="K869" s="34"/>
      <c r="L869" s="34"/>
      <c r="Q869" s="34"/>
      <c r="R869" s="34"/>
    </row>
    <row r="870">
      <c r="K870" s="34"/>
      <c r="L870" s="34"/>
      <c r="Q870" s="34"/>
      <c r="R870" s="34"/>
    </row>
    <row r="871">
      <c r="K871" s="34"/>
      <c r="L871" s="34"/>
      <c r="Q871" s="34"/>
      <c r="R871" s="34"/>
    </row>
    <row r="872">
      <c r="K872" s="34"/>
      <c r="L872" s="34"/>
      <c r="Q872" s="34"/>
      <c r="R872" s="34"/>
    </row>
    <row r="873">
      <c r="K873" s="34"/>
      <c r="L873" s="34"/>
      <c r="Q873" s="34"/>
      <c r="R873" s="34"/>
    </row>
    <row r="874">
      <c r="K874" s="34"/>
      <c r="L874" s="34"/>
      <c r="Q874" s="34"/>
      <c r="R874" s="34"/>
    </row>
    <row r="875">
      <c r="K875" s="34"/>
      <c r="L875" s="34"/>
      <c r="Q875" s="34"/>
      <c r="R875" s="34"/>
    </row>
    <row r="876">
      <c r="K876" s="34"/>
      <c r="L876" s="34"/>
      <c r="Q876" s="34"/>
      <c r="R876" s="34"/>
    </row>
    <row r="877">
      <c r="K877" s="34"/>
      <c r="L877" s="34"/>
      <c r="Q877" s="34"/>
      <c r="R877" s="34"/>
    </row>
    <row r="878">
      <c r="K878" s="34"/>
      <c r="L878" s="34"/>
      <c r="Q878" s="34"/>
      <c r="R878" s="34"/>
    </row>
    <row r="879">
      <c r="K879" s="34"/>
      <c r="L879" s="34"/>
      <c r="Q879" s="34"/>
      <c r="R879" s="34"/>
    </row>
    <row r="880">
      <c r="K880" s="34"/>
      <c r="L880" s="34"/>
      <c r="Q880" s="34"/>
      <c r="R880" s="34"/>
    </row>
    <row r="881">
      <c r="K881" s="34"/>
      <c r="L881" s="34"/>
      <c r="Q881" s="34"/>
      <c r="R881" s="34"/>
    </row>
    <row r="882">
      <c r="K882" s="34"/>
      <c r="L882" s="34"/>
      <c r="Q882" s="34"/>
      <c r="R882" s="34"/>
    </row>
    <row r="883">
      <c r="K883" s="34"/>
      <c r="L883" s="34"/>
      <c r="Q883" s="34"/>
      <c r="R883" s="34"/>
    </row>
    <row r="884">
      <c r="K884" s="34"/>
      <c r="L884" s="34"/>
      <c r="Q884" s="34"/>
      <c r="R884" s="34"/>
    </row>
    <row r="885">
      <c r="K885" s="34"/>
      <c r="L885" s="34"/>
      <c r="Q885" s="34"/>
      <c r="R885" s="34"/>
    </row>
    <row r="886">
      <c r="K886" s="34"/>
      <c r="L886" s="34"/>
      <c r="Q886" s="34"/>
      <c r="R886" s="34"/>
    </row>
    <row r="887">
      <c r="K887" s="34"/>
      <c r="L887" s="34"/>
      <c r="Q887" s="34"/>
      <c r="R887" s="34"/>
    </row>
    <row r="888">
      <c r="K888" s="34"/>
      <c r="L888" s="34"/>
      <c r="Q888" s="34"/>
      <c r="R888" s="34"/>
    </row>
    <row r="889">
      <c r="K889" s="34"/>
      <c r="L889" s="34"/>
      <c r="Q889" s="34"/>
      <c r="R889" s="34"/>
    </row>
    <row r="890">
      <c r="K890" s="34"/>
      <c r="L890" s="34"/>
      <c r="Q890" s="34"/>
      <c r="R890" s="34"/>
    </row>
    <row r="891">
      <c r="K891" s="34"/>
      <c r="L891" s="34"/>
      <c r="Q891" s="34"/>
      <c r="R891" s="34"/>
    </row>
    <row r="892">
      <c r="K892" s="34"/>
      <c r="L892" s="34"/>
      <c r="Q892" s="34"/>
      <c r="R892" s="34"/>
    </row>
    <row r="893">
      <c r="K893" s="34"/>
      <c r="L893" s="34"/>
      <c r="Q893" s="34"/>
      <c r="R893" s="34"/>
    </row>
    <row r="894">
      <c r="K894" s="34"/>
      <c r="L894" s="34"/>
      <c r="Q894" s="34"/>
      <c r="R894" s="34"/>
    </row>
    <row r="895">
      <c r="K895" s="34"/>
      <c r="L895" s="34"/>
      <c r="Q895" s="34"/>
      <c r="R895" s="34"/>
    </row>
    <row r="896">
      <c r="K896" s="34"/>
      <c r="L896" s="34"/>
      <c r="Q896" s="34"/>
      <c r="R896" s="34"/>
    </row>
    <row r="897">
      <c r="K897" s="34"/>
      <c r="L897" s="34"/>
      <c r="Q897" s="34"/>
      <c r="R897" s="34"/>
    </row>
    <row r="898">
      <c r="K898" s="34"/>
      <c r="L898" s="34"/>
      <c r="Q898" s="34"/>
      <c r="R898" s="34"/>
    </row>
    <row r="899">
      <c r="K899" s="34"/>
      <c r="L899" s="34"/>
      <c r="Q899" s="34"/>
      <c r="R899" s="34"/>
    </row>
    <row r="900">
      <c r="K900" s="34"/>
      <c r="L900" s="34"/>
      <c r="Q900" s="34"/>
      <c r="R900" s="34"/>
    </row>
    <row r="901">
      <c r="K901" s="34"/>
      <c r="L901" s="34"/>
      <c r="Q901" s="34"/>
      <c r="R901" s="34"/>
    </row>
    <row r="902">
      <c r="K902" s="34"/>
      <c r="L902" s="34"/>
      <c r="Q902" s="34"/>
      <c r="R902" s="34"/>
    </row>
    <row r="903">
      <c r="K903" s="34"/>
      <c r="L903" s="34"/>
      <c r="Q903" s="34"/>
      <c r="R903" s="34"/>
    </row>
    <row r="904">
      <c r="K904" s="34"/>
      <c r="L904" s="34"/>
      <c r="Q904" s="34"/>
      <c r="R904" s="34"/>
    </row>
    <row r="905">
      <c r="K905" s="34"/>
      <c r="L905" s="34"/>
      <c r="Q905" s="34"/>
      <c r="R905" s="34"/>
    </row>
    <row r="906">
      <c r="K906" s="34"/>
      <c r="L906" s="34"/>
      <c r="Q906" s="34"/>
      <c r="R906" s="34"/>
    </row>
    <row r="907">
      <c r="K907" s="34"/>
      <c r="L907" s="34"/>
      <c r="Q907" s="34"/>
      <c r="R907" s="34"/>
    </row>
    <row r="908">
      <c r="K908" s="34"/>
      <c r="L908" s="34"/>
      <c r="Q908" s="34"/>
      <c r="R908" s="34"/>
    </row>
    <row r="909">
      <c r="K909" s="34"/>
      <c r="L909" s="34"/>
      <c r="Q909" s="34"/>
      <c r="R909" s="34"/>
    </row>
    <row r="910">
      <c r="K910" s="34"/>
      <c r="L910" s="34"/>
      <c r="Q910" s="34"/>
      <c r="R910" s="34"/>
    </row>
    <row r="911">
      <c r="K911" s="34"/>
      <c r="L911" s="34"/>
      <c r="Q911" s="34"/>
      <c r="R911" s="34"/>
    </row>
    <row r="912">
      <c r="K912" s="34"/>
      <c r="L912" s="34"/>
      <c r="Q912" s="34"/>
      <c r="R912" s="34"/>
    </row>
    <row r="913">
      <c r="K913" s="34"/>
      <c r="L913" s="34"/>
      <c r="Q913" s="34"/>
      <c r="R913" s="34"/>
    </row>
    <row r="914">
      <c r="K914" s="34"/>
      <c r="L914" s="34"/>
      <c r="Q914" s="34"/>
      <c r="R914" s="34"/>
    </row>
    <row r="915">
      <c r="K915" s="34"/>
      <c r="L915" s="34"/>
      <c r="Q915" s="34"/>
      <c r="R915" s="34"/>
    </row>
    <row r="916">
      <c r="K916" s="34"/>
      <c r="L916" s="34"/>
      <c r="Q916" s="34"/>
      <c r="R916" s="34"/>
    </row>
    <row r="917">
      <c r="K917" s="34"/>
      <c r="L917" s="34"/>
      <c r="Q917" s="34"/>
      <c r="R917" s="34"/>
    </row>
    <row r="918">
      <c r="K918" s="34"/>
      <c r="L918" s="34"/>
      <c r="Q918" s="34"/>
      <c r="R918" s="34"/>
    </row>
    <row r="919">
      <c r="K919" s="34"/>
      <c r="L919" s="34"/>
      <c r="Q919" s="34"/>
      <c r="R919" s="34"/>
    </row>
    <row r="920">
      <c r="K920" s="34"/>
      <c r="L920" s="34"/>
      <c r="Q920" s="34"/>
      <c r="R920" s="34"/>
    </row>
    <row r="921">
      <c r="K921" s="34"/>
      <c r="L921" s="34"/>
      <c r="Q921" s="34"/>
      <c r="R921" s="34"/>
    </row>
    <row r="922">
      <c r="K922" s="34"/>
      <c r="L922" s="34"/>
      <c r="Q922" s="34"/>
      <c r="R922" s="34"/>
    </row>
    <row r="923">
      <c r="K923" s="34"/>
      <c r="L923" s="34"/>
      <c r="Q923" s="34"/>
      <c r="R923" s="34"/>
    </row>
    <row r="924">
      <c r="K924" s="34"/>
      <c r="L924" s="34"/>
      <c r="Q924" s="34"/>
      <c r="R924" s="34"/>
    </row>
    <row r="925">
      <c r="K925" s="34"/>
      <c r="L925" s="34"/>
      <c r="Q925" s="34"/>
      <c r="R925" s="34"/>
    </row>
    <row r="926">
      <c r="K926" s="34"/>
      <c r="L926" s="34"/>
      <c r="Q926" s="34"/>
      <c r="R926" s="34"/>
    </row>
    <row r="927">
      <c r="K927" s="34"/>
      <c r="L927" s="34"/>
      <c r="Q927" s="34"/>
      <c r="R927" s="34"/>
    </row>
    <row r="928">
      <c r="K928" s="34"/>
      <c r="L928" s="34"/>
      <c r="Q928" s="34"/>
      <c r="R928" s="34"/>
    </row>
    <row r="929">
      <c r="K929" s="34"/>
      <c r="L929" s="34"/>
      <c r="Q929" s="34"/>
      <c r="R929" s="34"/>
    </row>
    <row r="930">
      <c r="K930" s="34"/>
      <c r="L930" s="34"/>
      <c r="Q930" s="34"/>
      <c r="R930" s="34"/>
    </row>
    <row r="931">
      <c r="K931" s="34"/>
      <c r="L931" s="34"/>
      <c r="Q931" s="34"/>
      <c r="R931" s="34"/>
    </row>
    <row r="932">
      <c r="K932" s="34"/>
      <c r="L932" s="34"/>
      <c r="Q932" s="34"/>
      <c r="R932" s="34"/>
    </row>
    <row r="933">
      <c r="K933" s="34"/>
      <c r="L933" s="34"/>
      <c r="Q933" s="34"/>
      <c r="R933" s="34"/>
    </row>
    <row r="934">
      <c r="K934" s="34"/>
      <c r="L934" s="34"/>
      <c r="Q934" s="34"/>
      <c r="R934" s="34"/>
    </row>
    <row r="935">
      <c r="K935" s="34"/>
      <c r="L935" s="34"/>
      <c r="Q935" s="34"/>
      <c r="R935" s="34"/>
    </row>
    <row r="936">
      <c r="K936" s="34"/>
      <c r="L936" s="34"/>
      <c r="Q936" s="34"/>
      <c r="R936" s="34"/>
    </row>
    <row r="937">
      <c r="K937" s="34"/>
      <c r="L937" s="34"/>
      <c r="Q937" s="34"/>
      <c r="R937" s="34"/>
    </row>
    <row r="938">
      <c r="K938" s="34"/>
      <c r="L938" s="34"/>
      <c r="Q938" s="34"/>
      <c r="R938" s="34"/>
    </row>
    <row r="939">
      <c r="K939" s="34"/>
      <c r="L939" s="34"/>
      <c r="Q939" s="34"/>
      <c r="R939" s="34"/>
    </row>
    <row r="940">
      <c r="K940" s="34"/>
      <c r="L940" s="34"/>
      <c r="Q940" s="34"/>
      <c r="R940" s="34"/>
    </row>
    <row r="941">
      <c r="K941" s="34"/>
      <c r="L941" s="34"/>
      <c r="Q941" s="34"/>
      <c r="R941" s="34"/>
    </row>
    <row r="942">
      <c r="K942" s="34"/>
      <c r="L942" s="34"/>
      <c r="Q942" s="34"/>
      <c r="R942" s="34"/>
    </row>
    <row r="943">
      <c r="K943" s="34"/>
      <c r="L943" s="34"/>
      <c r="Q943" s="34"/>
      <c r="R943" s="34"/>
    </row>
    <row r="944">
      <c r="K944" s="34"/>
      <c r="L944" s="34"/>
      <c r="Q944" s="34"/>
      <c r="R944" s="34"/>
    </row>
    <row r="945">
      <c r="K945" s="34"/>
      <c r="L945" s="34"/>
      <c r="Q945" s="34"/>
      <c r="R945" s="34"/>
    </row>
    <row r="946">
      <c r="K946" s="34"/>
      <c r="L946" s="34"/>
      <c r="Q946" s="34"/>
      <c r="R946" s="34"/>
    </row>
    <row r="947">
      <c r="K947" s="34"/>
      <c r="L947" s="34"/>
      <c r="Q947" s="34"/>
      <c r="R947" s="34"/>
    </row>
    <row r="948">
      <c r="K948" s="34"/>
      <c r="L948" s="34"/>
      <c r="Q948" s="34"/>
      <c r="R948" s="34"/>
    </row>
    <row r="949">
      <c r="K949" s="34"/>
      <c r="L949" s="34"/>
      <c r="Q949" s="34"/>
      <c r="R949" s="34"/>
    </row>
    <row r="950">
      <c r="K950" s="34"/>
      <c r="L950" s="34"/>
      <c r="Q950" s="34"/>
      <c r="R950" s="34"/>
    </row>
    <row r="951">
      <c r="K951" s="34"/>
      <c r="L951" s="34"/>
      <c r="Q951" s="34"/>
      <c r="R951" s="34"/>
    </row>
    <row r="952">
      <c r="K952" s="34"/>
      <c r="L952" s="34"/>
      <c r="Q952" s="34"/>
      <c r="R952" s="34"/>
    </row>
    <row r="953">
      <c r="K953" s="34"/>
      <c r="L953" s="34"/>
      <c r="Q953" s="34"/>
      <c r="R953" s="34"/>
    </row>
    <row r="954">
      <c r="K954" s="34"/>
      <c r="L954" s="34"/>
      <c r="Q954" s="34"/>
      <c r="R954" s="34"/>
    </row>
    <row r="955">
      <c r="K955" s="34"/>
      <c r="L955" s="34"/>
      <c r="Q955" s="34"/>
      <c r="R955" s="34"/>
    </row>
    <row r="956">
      <c r="K956" s="34"/>
      <c r="L956" s="34"/>
      <c r="Q956" s="34"/>
      <c r="R956" s="34"/>
    </row>
    <row r="957">
      <c r="K957" s="34"/>
      <c r="L957" s="34"/>
      <c r="Q957" s="34"/>
      <c r="R957" s="34"/>
    </row>
    <row r="958">
      <c r="K958" s="34"/>
      <c r="L958" s="34"/>
      <c r="Q958" s="34"/>
      <c r="R958" s="34"/>
    </row>
    <row r="959">
      <c r="K959" s="34"/>
      <c r="L959" s="34"/>
      <c r="Q959" s="34"/>
      <c r="R959" s="34"/>
    </row>
    <row r="960">
      <c r="K960" s="34"/>
      <c r="L960" s="34"/>
      <c r="Q960" s="34"/>
      <c r="R960" s="34"/>
    </row>
    <row r="961">
      <c r="K961" s="34"/>
      <c r="L961" s="34"/>
      <c r="Q961" s="34"/>
      <c r="R961" s="34"/>
    </row>
    <row r="962">
      <c r="K962" s="34"/>
      <c r="L962" s="34"/>
      <c r="Q962" s="34"/>
      <c r="R962" s="34"/>
    </row>
    <row r="963">
      <c r="K963" s="34"/>
      <c r="L963" s="34"/>
      <c r="Q963" s="34"/>
      <c r="R963" s="34"/>
    </row>
    <row r="964">
      <c r="K964" s="34"/>
      <c r="L964" s="34"/>
      <c r="Q964" s="34"/>
      <c r="R964" s="34"/>
    </row>
    <row r="965">
      <c r="K965" s="34"/>
      <c r="L965" s="34"/>
      <c r="Q965" s="34"/>
      <c r="R965" s="34"/>
    </row>
    <row r="966">
      <c r="K966" s="34"/>
      <c r="L966" s="34"/>
      <c r="Q966" s="34"/>
      <c r="R966" s="34"/>
    </row>
    <row r="967">
      <c r="K967" s="34"/>
      <c r="L967" s="34"/>
      <c r="Q967" s="34"/>
      <c r="R967" s="34"/>
    </row>
    <row r="968">
      <c r="K968" s="34"/>
      <c r="L968" s="34"/>
      <c r="Q968" s="34"/>
      <c r="R968" s="34"/>
    </row>
    <row r="969">
      <c r="K969" s="34"/>
      <c r="L969" s="34"/>
      <c r="Q969" s="34"/>
      <c r="R969" s="34"/>
    </row>
    <row r="970">
      <c r="K970" s="34"/>
      <c r="L970" s="34"/>
      <c r="Q970" s="34"/>
      <c r="R970" s="34"/>
    </row>
    <row r="971">
      <c r="K971" s="34"/>
      <c r="L971" s="34"/>
      <c r="Q971" s="34"/>
      <c r="R971" s="34"/>
    </row>
    <row r="972">
      <c r="K972" s="34"/>
      <c r="L972" s="34"/>
      <c r="Q972" s="34"/>
      <c r="R972" s="34"/>
    </row>
    <row r="973">
      <c r="K973" s="34"/>
      <c r="L973" s="34"/>
      <c r="Q973" s="34"/>
      <c r="R973" s="34"/>
    </row>
    <row r="974">
      <c r="K974" s="34"/>
      <c r="L974" s="34"/>
      <c r="Q974" s="34"/>
      <c r="R974" s="34"/>
    </row>
    <row r="975">
      <c r="K975" s="34"/>
      <c r="L975" s="34"/>
      <c r="Q975" s="34"/>
      <c r="R975" s="34"/>
    </row>
    <row r="976">
      <c r="K976" s="34"/>
      <c r="L976" s="34"/>
      <c r="Q976" s="34"/>
      <c r="R976" s="34"/>
    </row>
    <row r="977">
      <c r="K977" s="34"/>
      <c r="L977" s="34"/>
      <c r="Q977" s="34"/>
      <c r="R977" s="34"/>
    </row>
    <row r="978">
      <c r="K978" s="34"/>
      <c r="L978" s="34"/>
      <c r="Q978" s="34"/>
      <c r="R978" s="34"/>
    </row>
    <row r="979">
      <c r="K979" s="34"/>
      <c r="L979" s="34"/>
      <c r="Q979" s="34"/>
      <c r="R979" s="34"/>
    </row>
    <row r="980">
      <c r="K980" s="34"/>
      <c r="L980" s="34"/>
      <c r="Q980" s="34"/>
      <c r="R980" s="34"/>
    </row>
    <row r="981">
      <c r="K981" s="34"/>
      <c r="L981" s="34"/>
      <c r="Q981" s="34"/>
      <c r="R981" s="34"/>
    </row>
    <row r="982">
      <c r="K982" s="34"/>
      <c r="L982" s="34"/>
      <c r="Q982" s="34"/>
      <c r="R982" s="34"/>
    </row>
    <row r="983">
      <c r="K983" s="34"/>
      <c r="L983" s="34"/>
      <c r="Q983" s="34"/>
      <c r="R983" s="34"/>
    </row>
    <row r="984">
      <c r="K984" s="34"/>
      <c r="L984" s="34"/>
      <c r="Q984" s="34"/>
      <c r="R984" s="34"/>
    </row>
    <row r="985">
      <c r="K985" s="34"/>
      <c r="L985" s="34"/>
      <c r="Q985" s="34"/>
      <c r="R985" s="34"/>
    </row>
    <row r="986">
      <c r="K986" s="34"/>
      <c r="L986" s="34"/>
      <c r="Q986" s="34"/>
      <c r="R986" s="34"/>
    </row>
    <row r="987">
      <c r="K987" s="34"/>
      <c r="L987" s="34"/>
      <c r="Q987" s="34"/>
      <c r="R987" s="34"/>
    </row>
    <row r="988">
      <c r="K988" s="34"/>
      <c r="L988" s="34"/>
      <c r="Q988" s="34"/>
      <c r="R988" s="34"/>
    </row>
    <row r="989">
      <c r="K989" s="34"/>
      <c r="L989" s="34"/>
      <c r="Q989" s="34"/>
      <c r="R989" s="34"/>
    </row>
    <row r="990">
      <c r="K990" s="34"/>
      <c r="L990" s="34"/>
      <c r="Q990" s="34"/>
      <c r="R990" s="34"/>
    </row>
    <row r="991">
      <c r="K991" s="34"/>
      <c r="L991" s="34"/>
      <c r="Q991" s="34"/>
      <c r="R991" s="34"/>
    </row>
    <row r="992">
      <c r="K992" s="34"/>
      <c r="L992" s="34"/>
      <c r="Q992" s="34"/>
      <c r="R992" s="34"/>
    </row>
    <row r="993">
      <c r="K993" s="34"/>
      <c r="L993" s="34"/>
      <c r="Q993" s="34"/>
      <c r="R993" s="34"/>
    </row>
    <row r="994">
      <c r="K994" s="34"/>
      <c r="L994" s="34"/>
      <c r="Q994" s="34"/>
      <c r="R994" s="34"/>
    </row>
    <row r="995">
      <c r="K995" s="34"/>
      <c r="L995" s="34"/>
      <c r="Q995" s="34"/>
      <c r="R995" s="34"/>
    </row>
    <row r="996">
      <c r="K996" s="34"/>
      <c r="L996" s="34"/>
      <c r="Q996" s="34"/>
      <c r="R996" s="34"/>
    </row>
    <row r="997">
      <c r="K997" s="34"/>
      <c r="L997" s="34"/>
      <c r="Q997" s="34"/>
      <c r="R997" s="34"/>
    </row>
    <row r="998">
      <c r="K998" s="34"/>
      <c r="L998" s="34"/>
      <c r="Q998" s="34"/>
      <c r="R998" s="34"/>
    </row>
    <row r="999">
      <c r="K999" s="34"/>
      <c r="L999" s="34"/>
      <c r="Q999" s="34"/>
      <c r="R999" s="34"/>
    </row>
  </sheetData>
  <mergeCells count="178">
    <mergeCell ref="W7:X8"/>
    <mergeCell ref="Y7:Z8"/>
    <mergeCell ref="AA7:AB8"/>
    <mergeCell ref="I7:J8"/>
    <mergeCell ref="K7:L8"/>
    <mergeCell ref="M7:N8"/>
    <mergeCell ref="O7:P8"/>
    <mergeCell ref="Q7:R8"/>
    <mergeCell ref="S7:T8"/>
    <mergeCell ref="U7:V8"/>
    <mergeCell ref="A1:L3"/>
    <mergeCell ref="A4:B5"/>
    <mergeCell ref="C4:D5"/>
    <mergeCell ref="A7:B8"/>
    <mergeCell ref="C7:D8"/>
    <mergeCell ref="E7:F8"/>
    <mergeCell ref="G7:H8"/>
    <mergeCell ref="O9:P9"/>
    <mergeCell ref="Q9:R9"/>
    <mergeCell ref="S9:T9"/>
    <mergeCell ref="U9:V9"/>
    <mergeCell ref="W9:X9"/>
    <mergeCell ref="Y9:Z9"/>
    <mergeCell ref="AA9:AB9"/>
    <mergeCell ref="A9:B9"/>
    <mergeCell ref="C9:D9"/>
    <mergeCell ref="E9:F9"/>
    <mergeCell ref="G9:H9"/>
    <mergeCell ref="I9:J9"/>
    <mergeCell ref="K9:L9"/>
    <mergeCell ref="M9:N9"/>
    <mergeCell ref="O10:P10"/>
    <mergeCell ref="Q10:R10"/>
    <mergeCell ref="S10:T10"/>
    <mergeCell ref="U10:V10"/>
    <mergeCell ref="W10:X10"/>
    <mergeCell ref="Y10:Z10"/>
    <mergeCell ref="AA10:AB10"/>
    <mergeCell ref="A10:B10"/>
    <mergeCell ref="C10:D10"/>
    <mergeCell ref="E10:F10"/>
    <mergeCell ref="G10:H10"/>
    <mergeCell ref="I10:J10"/>
    <mergeCell ref="K10:L10"/>
    <mergeCell ref="M10:N10"/>
    <mergeCell ref="O14:P14"/>
    <mergeCell ref="Q14:R14"/>
    <mergeCell ref="S14:T14"/>
    <mergeCell ref="U14:V14"/>
    <mergeCell ref="W14:X14"/>
    <mergeCell ref="Y14:Z14"/>
    <mergeCell ref="AA14:AB14"/>
    <mergeCell ref="A14:B14"/>
    <mergeCell ref="C14:D14"/>
    <mergeCell ref="E14:F14"/>
    <mergeCell ref="G14:H14"/>
    <mergeCell ref="I14:J14"/>
    <mergeCell ref="K14:L14"/>
    <mergeCell ref="M14:N14"/>
    <mergeCell ref="O15:P15"/>
    <mergeCell ref="Q15:R15"/>
    <mergeCell ref="S15:T15"/>
    <mergeCell ref="U15:V15"/>
    <mergeCell ref="W15:X15"/>
    <mergeCell ref="Y15:Z15"/>
    <mergeCell ref="AA15:AB15"/>
    <mergeCell ref="A15:B15"/>
    <mergeCell ref="C15:D15"/>
    <mergeCell ref="E15:F15"/>
    <mergeCell ref="G15:H15"/>
    <mergeCell ref="I15:J15"/>
    <mergeCell ref="K15:L15"/>
    <mergeCell ref="M15:N15"/>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72:F72"/>
    <mergeCell ref="E73:F73"/>
    <mergeCell ref="E74:F74"/>
    <mergeCell ref="E75:F75"/>
    <mergeCell ref="E76:F76"/>
    <mergeCell ref="E77:F77"/>
    <mergeCell ref="E78:F78"/>
    <mergeCell ref="E65:F65"/>
    <mergeCell ref="E66:F66"/>
    <mergeCell ref="E67:F67"/>
    <mergeCell ref="E68:F68"/>
    <mergeCell ref="E69:F69"/>
    <mergeCell ref="E70:F70"/>
    <mergeCell ref="E71:F71"/>
    <mergeCell ref="O11:P11"/>
    <mergeCell ref="Q11:R11"/>
    <mergeCell ref="S11:T11"/>
    <mergeCell ref="U11:V11"/>
    <mergeCell ref="W11:X11"/>
    <mergeCell ref="Y11:Z11"/>
    <mergeCell ref="AA11:AB11"/>
    <mergeCell ref="A11:B11"/>
    <mergeCell ref="C11:D11"/>
    <mergeCell ref="E11:F11"/>
    <mergeCell ref="G11:H11"/>
    <mergeCell ref="I11:J11"/>
    <mergeCell ref="K11:L11"/>
    <mergeCell ref="M11:N11"/>
    <mergeCell ref="O12:P12"/>
    <mergeCell ref="Q12:R12"/>
    <mergeCell ref="S12:T12"/>
    <mergeCell ref="U12:V12"/>
    <mergeCell ref="W12:X12"/>
    <mergeCell ref="Y12:Z12"/>
    <mergeCell ref="AA12:AB12"/>
    <mergeCell ref="A12:B12"/>
    <mergeCell ref="C12:D12"/>
    <mergeCell ref="E12:F12"/>
    <mergeCell ref="G12:H12"/>
    <mergeCell ref="I12:J12"/>
    <mergeCell ref="K12:L12"/>
    <mergeCell ref="M12:N12"/>
    <mergeCell ref="O13:P13"/>
    <mergeCell ref="Q13:R13"/>
    <mergeCell ref="S13:T13"/>
    <mergeCell ref="U13:V13"/>
    <mergeCell ref="W13:X13"/>
    <mergeCell ref="Y13:Z13"/>
    <mergeCell ref="AA13:AB13"/>
    <mergeCell ref="A13:B13"/>
    <mergeCell ref="C13:D13"/>
    <mergeCell ref="E13:F13"/>
    <mergeCell ref="G13:H13"/>
    <mergeCell ref="I13:J13"/>
    <mergeCell ref="K13:L13"/>
    <mergeCell ref="M13:N13"/>
    <mergeCell ref="E16:F16"/>
    <mergeCell ref="E17:F17"/>
    <mergeCell ref="E18:F18"/>
    <mergeCell ref="E19:F19"/>
    <mergeCell ref="E20:F20"/>
    <mergeCell ref="E21:F21"/>
    <mergeCell ref="E22:F22"/>
  </mergeCells>
  <dataValidations>
    <dataValidation type="list" allowBlank="1" showErrorMessage="1" sqref="M9:M15">
      <formula1>"New,Open,Fixed,Pending Retest,Retest,Reopen,Closed"</formula1>
    </dataValidation>
    <dataValidation type="list" allowBlank="1" showErrorMessage="1" sqref="O9:O15">
      <formula1>"Minor,Major,Critical"</formula1>
    </dataValidation>
    <dataValidation type="list" allowBlank="1" showErrorMessage="1" sqref="C4">
      <formula1>'End-to-End Testing - Execution '!$A$9:$B$13</formula1>
    </dataValidation>
  </dataValidations>
  <hyperlinks>
    <hyperlink r:id="rId1" ref="U9"/>
    <hyperlink r:id="rId2" ref="U10"/>
    <hyperlink r:id="rId3" ref="U15"/>
  </hyperlinks>
  <drawing r:id="rId4"/>
</worksheet>
</file>